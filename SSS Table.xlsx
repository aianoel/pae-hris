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2026 SSS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PR">'[1]APR 2022'!$A$2:$AY$32</definedName>
    <definedName name="confi_ded_Apr">#REF!</definedName>
    <definedName name="confi_ded_Aug">#REF!</definedName>
    <definedName name="confi_ded_Dec">[3]DEC!$AO$4:$BD$20</definedName>
    <definedName name="confi_ded_Feb">#REF!</definedName>
    <definedName name="confi_ded_Jan">#REF!</definedName>
    <definedName name="confi_ded_Jul">#REF!</definedName>
    <definedName name="confi_ded_Jun">#REF!</definedName>
    <definedName name="confi_ded_Mar">#REF!</definedName>
    <definedName name="confi_ded_May">#REF!</definedName>
    <definedName name="confi_ded_Nov">[3]NOV!$AO$4:$BD$20</definedName>
    <definedName name="confi_ded_Oct">[3]OCT!$AO$4:$BD$20</definedName>
    <definedName name="confi_ded_sep">[3]SEP!$AO$4:$BD$21</definedName>
    <definedName name="earn_aug">[4]AUG!$AA$1:$AK$63</definedName>
    <definedName name="earn_jul">[4]JUL!$AA$1:$AK$63</definedName>
    <definedName name="earn_oct">[4]OCT!$AA$1:$AK$63</definedName>
    <definedName name="FEB">[5]FEB!$D$1:$BD$12</definedName>
    <definedName name="JAN">[5]JAN!$D$1:$BD$13</definedName>
    <definedName name="Jul">'[1]JULY 2022'!$A$2:$BA$40</definedName>
    <definedName name="Jun">'[1]JUNE 2022'!$A$2:$AY$43</definedName>
    <definedName name="late_aug">#REF!</definedName>
    <definedName name="late_jul">#REF!</definedName>
    <definedName name="LateAbsent">'[5]LATE AB'!$B$1:$AG$10</definedName>
    <definedName name="MAR">'[1]MAR 2022'!$A$2:$AY$26</definedName>
    <definedName name="May">'[1]MAY 2022'!$A$2:$AY$30</definedName>
    <definedName name="rnf_ded_Apr1st">#REF!</definedName>
    <definedName name="rnf_ded_Apr2nd">#REF!</definedName>
    <definedName name="rnf_ded_Aug1st">#REF!</definedName>
    <definedName name="rnf_ded_Aug2nd">#REF!</definedName>
    <definedName name="rnf_ded_Dec1st">[3]DEC!$AO$27:$BD$54</definedName>
    <definedName name="rnf_ded_Dec2nd">[3]DEC!$AO$59:$BD$84</definedName>
    <definedName name="rnf_ded_Feb1st">#REF!</definedName>
    <definedName name="rnf_ded_Feb2nd">#REF!</definedName>
    <definedName name="rnf_ded_Jan1st">#REF!</definedName>
    <definedName name="rnf_ded_Jan2nd">#REF!</definedName>
    <definedName name="rnf_ded_Jul1st">#REF!</definedName>
    <definedName name="rnf_ded_Jul2nd">#REF!</definedName>
    <definedName name="rnf_ded_Jun1st">#REF!</definedName>
    <definedName name="rnf_ded_Jun2nd">#REF!</definedName>
    <definedName name="rnf_ded_Mar1st">#REF!</definedName>
    <definedName name="rnf_ded_Mar2nd">#REF!</definedName>
    <definedName name="rnf_ded_May1st">#REF!</definedName>
    <definedName name="rnf_ded_May2nd">#REF!</definedName>
    <definedName name="rnf_ded_Nov1st">[3]NOV!$AO$27:$BD$54</definedName>
    <definedName name="rnf_ded_Nov2nd">[3]NOV!$AO$59:$BD$84</definedName>
    <definedName name="rnf_ded_Oct1st">[3]OCT!$AO$27:$BD$53</definedName>
    <definedName name="rnf_ded_Oct2nd">[3]OCT!$AO$58:$BD$83</definedName>
    <definedName name="rnf_ded_Sep1st">[3]SEP!$AO$27:$BD$53</definedName>
    <definedName name="rnf_ded_Sep2nd">[3]SEP!$AO$58:$BD$82</definedName>
    <definedName name="SSS_2023">'[5]2023 SSS'!$A$6:$Q$60</definedName>
    <definedName name="SSSrates">[3]SSSRates!$A$1:$Q$51</definedName>
  </definedNames>
  <calcPr calcId="124519"/>
</workbook>
</file>

<file path=xl/calcChain.xml><?xml version="1.0" encoding="utf-8"?>
<calcChain xmlns="http://schemas.openxmlformats.org/spreadsheetml/2006/main">
  <c r="M67" i="1"/>
  <c r="L67"/>
  <c r="I67"/>
  <c r="E67"/>
  <c r="L66"/>
  <c r="I66"/>
  <c r="M66" s="1"/>
  <c r="E66"/>
  <c r="M65"/>
  <c r="L65"/>
  <c r="I65"/>
  <c r="E65"/>
  <c r="L64"/>
  <c r="I64"/>
  <c r="M64" s="1"/>
  <c r="E64"/>
  <c r="M63"/>
  <c r="L63"/>
  <c r="I63"/>
  <c r="E63"/>
  <c r="L62"/>
  <c r="I62"/>
  <c r="M62" s="1"/>
  <c r="E62"/>
  <c r="M61"/>
  <c r="L61"/>
  <c r="I61"/>
  <c r="E61"/>
  <c r="L60"/>
  <c r="I60"/>
  <c r="M60" s="1"/>
  <c r="E60"/>
  <c r="M59"/>
  <c r="L59"/>
  <c r="I59"/>
  <c r="E59"/>
  <c r="L58"/>
  <c r="I58"/>
  <c r="M58" s="1"/>
  <c r="E58"/>
  <c r="M57"/>
  <c r="L57"/>
  <c r="I57"/>
  <c r="E57"/>
  <c r="L56"/>
  <c r="I56"/>
  <c r="M56" s="1"/>
  <c r="E56"/>
  <c r="M55"/>
  <c r="L55"/>
  <c r="I55"/>
  <c r="E55"/>
  <c r="L54"/>
  <c r="I54"/>
  <c r="M54" s="1"/>
  <c r="E54"/>
  <c r="M53"/>
  <c r="L53"/>
  <c r="I53"/>
  <c r="E53"/>
  <c r="L52"/>
  <c r="I52"/>
  <c r="M52" s="1"/>
  <c r="E52"/>
  <c r="M51"/>
  <c r="L51"/>
  <c r="I51"/>
  <c r="E51"/>
  <c r="L50"/>
  <c r="I50"/>
  <c r="M50" s="1"/>
  <c r="E50"/>
  <c r="M49"/>
  <c r="L49"/>
  <c r="I49"/>
  <c r="E49"/>
  <c r="L48"/>
  <c r="I48"/>
  <c r="M48" s="1"/>
  <c r="E48"/>
  <c r="M47"/>
  <c r="L47"/>
  <c r="I47"/>
  <c r="E47"/>
  <c r="L46"/>
  <c r="I46"/>
  <c r="M46" s="1"/>
  <c r="E46"/>
  <c r="M45"/>
  <c r="L45"/>
  <c r="I45"/>
  <c r="E45"/>
  <c r="L44"/>
  <c r="I44"/>
  <c r="M44" s="1"/>
  <c r="E44"/>
  <c r="M43"/>
  <c r="L43"/>
  <c r="I43"/>
  <c r="E43"/>
  <c r="L42"/>
  <c r="I42"/>
  <c r="M42" s="1"/>
  <c r="E42"/>
  <c r="M41"/>
  <c r="L41"/>
  <c r="I41"/>
  <c r="E41"/>
  <c r="L40"/>
  <c r="I40"/>
  <c r="M40" s="1"/>
  <c r="E40"/>
  <c r="M39"/>
  <c r="L39"/>
  <c r="I39"/>
  <c r="E39"/>
  <c r="L38"/>
  <c r="I38"/>
  <c r="M38" s="1"/>
  <c r="E38"/>
  <c r="M37"/>
  <c r="L37"/>
  <c r="I37"/>
  <c r="E37"/>
  <c r="L36"/>
  <c r="I36"/>
  <c r="M36" s="1"/>
  <c r="E36"/>
  <c r="M35"/>
  <c r="L35"/>
  <c r="I35"/>
  <c r="E35"/>
  <c r="L34"/>
  <c r="I34"/>
  <c r="M34" s="1"/>
  <c r="E34"/>
  <c r="M33"/>
  <c r="L33"/>
  <c r="I33"/>
  <c r="E33"/>
  <c r="L32"/>
  <c r="I32"/>
  <c r="M32" s="1"/>
  <c r="E32"/>
  <c r="M31"/>
  <c r="L31"/>
  <c r="I31"/>
  <c r="E31"/>
  <c r="L30"/>
  <c r="I30"/>
  <c r="M30" s="1"/>
  <c r="E30"/>
  <c r="M29"/>
  <c r="L29"/>
  <c r="I29"/>
  <c r="E29"/>
  <c r="L28"/>
  <c r="I28"/>
  <c r="M28" s="1"/>
  <c r="E28"/>
  <c r="M27"/>
  <c r="L27"/>
  <c r="I27"/>
  <c r="E27"/>
  <c r="L26"/>
  <c r="I26"/>
  <c r="M26" s="1"/>
  <c r="E26"/>
  <c r="M25"/>
  <c r="L25"/>
  <c r="I25"/>
  <c r="E25"/>
  <c r="L24"/>
  <c r="I24"/>
  <c r="M24" s="1"/>
  <c r="E24"/>
  <c r="M23"/>
  <c r="L23"/>
  <c r="I23"/>
  <c r="E23"/>
  <c r="L22"/>
  <c r="I22"/>
  <c r="M22" s="1"/>
  <c r="E22"/>
  <c r="M21"/>
  <c r="L21"/>
  <c r="I21"/>
  <c r="E21"/>
  <c r="L20"/>
  <c r="I20"/>
  <c r="M20" s="1"/>
  <c r="E20"/>
  <c r="M19"/>
  <c r="L19"/>
  <c r="I19"/>
  <c r="E19"/>
  <c r="L18"/>
  <c r="I18"/>
  <c r="M18" s="1"/>
  <c r="E18"/>
  <c r="M17"/>
  <c r="L17"/>
  <c r="I17"/>
  <c r="E17"/>
  <c r="L16"/>
  <c r="I16"/>
  <c r="M16" s="1"/>
  <c r="E16"/>
  <c r="M15"/>
  <c r="L15"/>
  <c r="I15"/>
  <c r="E15"/>
  <c r="L14"/>
  <c r="I14"/>
  <c r="M14" s="1"/>
  <c r="E14"/>
  <c r="M13"/>
  <c r="L13"/>
  <c r="I13"/>
  <c r="E13"/>
  <c r="L12"/>
  <c r="I12"/>
  <c r="M12" s="1"/>
  <c r="E12"/>
  <c r="M11"/>
  <c r="L11"/>
  <c r="I11"/>
  <c r="E11"/>
  <c r="L10"/>
  <c r="I10"/>
  <c r="M10" s="1"/>
  <c r="E10"/>
  <c r="M9"/>
  <c r="L9"/>
  <c r="I9"/>
  <c r="E9"/>
  <c r="L8"/>
  <c r="I8"/>
  <c r="M8" s="1"/>
  <c r="E8"/>
  <c r="M7"/>
  <c r="L7"/>
  <c r="I7"/>
  <c r="E7"/>
</calcChain>
</file>

<file path=xl/sharedStrings.xml><?xml version="1.0" encoding="utf-8"?>
<sst xmlns="http://schemas.openxmlformats.org/spreadsheetml/2006/main" count="33" uniqueCount="20">
  <si>
    <t>Range of Compensation</t>
  </si>
  <si>
    <t>Monthly Salary Credit</t>
  </si>
  <si>
    <t>Employer - Employee</t>
  </si>
  <si>
    <t>Social Security</t>
  </si>
  <si>
    <t>Employees Compensation</t>
  </si>
  <si>
    <t>Regular SS/Employee's Compensation</t>
  </si>
  <si>
    <t>Mandatory Provident Fund</t>
  </si>
  <si>
    <t>Total</t>
  </si>
  <si>
    <t>ER</t>
  </si>
  <si>
    <t>EE</t>
  </si>
  <si>
    <t>TOTAL</t>
  </si>
  <si>
    <t xml:space="preserve">MONTHLY SALARY CREDIT </t>
  </si>
  <si>
    <t>Regular SS</t>
  </si>
  <si>
    <t>EC</t>
  </si>
  <si>
    <t>Range1</t>
  </si>
  <si>
    <t>Range2</t>
  </si>
  <si>
    <t>Regular SS/ EC</t>
  </si>
  <si>
    <t>WISP</t>
  </si>
  <si>
    <t>MPF</t>
  </si>
  <si>
    <t>OVER</t>
  </si>
</sst>
</file>

<file path=xl/styles.xml><?xml version="1.0" encoding="utf-8"?>
<styleSheet xmlns="http://schemas.openxmlformats.org/spreadsheetml/2006/main">
  <numFmts count="1">
    <numFmt numFmtId="165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i/>
      <sz val="11"/>
      <color rgb="FF000000"/>
      <name val="Calibri"/>
      <family val="2"/>
    </font>
    <font>
      <b/>
      <i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F4F5"/>
        <bgColor rgb="FFF4F4F5"/>
      </patternFill>
    </fill>
    <fill>
      <patternFill patternType="solid">
        <fgColor rgb="FFECFEFF"/>
        <bgColor rgb="FFECFEFF"/>
      </patternFill>
    </fill>
    <fill>
      <patternFill patternType="solid">
        <fgColor rgb="FFFFF7ED"/>
        <bgColor rgb="FFFFF7ED"/>
      </patternFill>
    </fill>
    <fill>
      <patternFill patternType="solid">
        <fgColor rgb="FFECFDF5"/>
        <bgColor rgb="FFECFDF5"/>
      </patternFill>
    </fill>
    <fill>
      <patternFill patternType="solid">
        <fgColor rgb="FFFAF5FF"/>
        <bgColor rgb="FFFAF5FF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4" fillId="0" borderId="0">
      <alignment vertical="center"/>
    </xf>
    <xf numFmtId="0" fontId="4" fillId="0" borderId="0" applyBorder="0" applyProtection="0">
      <alignment vertical="center"/>
    </xf>
    <xf numFmtId="0" fontId="4" fillId="0" borderId="0" applyBorder="0" applyProtection="0">
      <alignment vertical="center"/>
    </xf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</cellStyleXfs>
  <cellXfs count="33">
    <xf numFmtId="0" fontId="0" fillId="0" borderId="0" xfId="0"/>
    <xf numFmtId="0" fontId="3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3" borderId="0" xfId="1" applyFont="1" applyFill="1" applyAlignment="1">
      <alignment horizontal="center"/>
    </xf>
    <xf numFmtId="0" fontId="3" fillId="4" borderId="0" xfId="1" applyFont="1" applyFill="1" applyAlignment="1">
      <alignment horizontal="center"/>
    </xf>
    <xf numFmtId="0" fontId="3" fillId="5" borderId="0" xfId="1" applyFont="1" applyFill="1" applyAlignment="1">
      <alignment horizontal="center"/>
    </xf>
    <xf numFmtId="0" fontId="3" fillId="6" borderId="0" xfId="1" applyFont="1" applyFill="1" applyAlignment="1">
      <alignment horizontal="center"/>
    </xf>
    <xf numFmtId="0" fontId="2" fillId="0" borderId="0" xfId="1"/>
    <xf numFmtId="0" fontId="3" fillId="2" borderId="0" xfId="1" applyFont="1" applyFill="1" applyAlignment="1">
      <alignment horizontal="center"/>
    </xf>
    <xf numFmtId="0" fontId="2" fillId="0" borderId="0" xfId="1"/>
    <xf numFmtId="0" fontId="3" fillId="3" borderId="0" xfId="1" applyFont="1" applyFill="1" applyAlignment="1">
      <alignment horizontal="center"/>
    </xf>
    <xf numFmtId="0" fontId="3" fillId="4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5" borderId="0" xfId="1" applyFont="1" applyFill="1" applyAlignment="1">
      <alignment horizontal="center"/>
    </xf>
    <xf numFmtId="0" fontId="5" fillId="0" borderId="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7" borderId="4" xfId="2" applyFont="1" applyFill="1" applyBorder="1" applyAlignment="1">
      <alignment horizontal="center" vertical="center"/>
    </xf>
    <xf numFmtId="0" fontId="5" fillId="8" borderId="4" xfId="2" applyFont="1" applyFill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6" fillId="9" borderId="4" xfId="2" applyFont="1" applyFill="1" applyBorder="1" applyAlignment="1">
      <alignment horizontal="center" vertical="center"/>
    </xf>
    <xf numFmtId="4" fontId="4" fillId="0" borderId="1" xfId="2" applyNumberFormat="1" applyBorder="1" applyAlignment="1">
      <alignment horizontal="right" vertical="center"/>
    </xf>
    <xf numFmtId="4" fontId="4" fillId="0" borderId="2" xfId="2" applyNumberFormat="1" applyBorder="1" applyAlignment="1">
      <alignment horizontal="right" vertical="center"/>
    </xf>
    <xf numFmtId="4" fontId="4" fillId="0" borderId="4" xfId="3" applyNumberFormat="1" applyBorder="1" applyAlignment="1" applyProtection="1">
      <alignment horizontal="right" vertical="center"/>
    </xf>
    <xf numFmtId="4" fontId="7" fillId="0" borderId="4" xfId="4" applyNumberFormat="1" applyFont="1" applyBorder="1" applyAlignment="1" applyProtection="1">
      <alignment horizontal="right" vertical="center"/>
    </xf>
    <xf numFmtId="4" fontId="4" fillId="0" borderId="4" xfId="2" applyNumberFormat="1" applyBorder="1" applyAlignment="1">
      <alignment horizontal="right" vertical="center"/>
    </xf>
    <xf numFmtId="0" fontId="8" fillId="0" borderId="0" xfId="0" applyFont="1"/>
  </cellXfs>
  <cellStyles count="9">
    <cellStyle name="Comma 2" xfId="4"/>
    <cellStyle name="Comma 2 2" xfId="3"/>
    <cellStyle name="Comma 2 3" xfId="5"/>
    <cellStyle name="Normal" xfId="0" builtinId="0"/>
    <cellStyle name="Normal 2" xfId="6"/>
    <cellStyle name="Normal 2 2" xfId="7"/>
    <cellStyle name="Normal 3" xfId="1"/>
    <cellStyle name="Normal 3 2" xfId="8"/>
    <cellStyle name="Normal 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FFICE\PAYROLL\2023%20PAYROLL\00%20XYNC%20payroll%202022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TCEPE/GA%202026/01%20PAYROLL%202026/03%20TVI/EXCEL%20FILE/00%20Payroll%20TVI%202026%20-%20APRI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00%20Payroll%20PAE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counting/Downloads/00%20Payroll%20PECO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TCEPE/GA%202026/01%20PAYROLL%202026/03%20TVI/EXCEL%20FILE/00%20Payroll%20TVI%2020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SS"/>
      <sheetName val="15-30"/>
      <sheetName val="SUMMARY 2022"/>
      <sheetName val="JAN 2022"/>
      <sheetName val="FEB 2022"/>
      <sheetName val="MAR 2022"/>
      <sheetName val="APR 2022"/>
      <sheetName val="MAY 2022"/>
      <sheetName val="JUNE 2022"/>
      <sheetName val="JULY 2022"/>
      <sheetName val="AUG 2022"/>
      <sheetName val="SEP 2022"/>
      <sheetName val="OCT 2022"/>
      <sheetName val="NOV 2022"/>
      <sheetName val="DEC 2022"/>
      <sheetName val="ded_MANDATORY"/>
      <sheetName val="HDMF"/>
      <sheetName val="PHIC"/>
      <sheetName val="other deduc"/>
      <sheetName val="other ADDL"/>
      <sheetName val="earnings register"/>
      <sheetName val="deduc reg nov"/>
      <sheetName val="TAX"/>
      <sheetName val="SSSRates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</row>
      </sheetData>
      <sheetData sheetId="5">
        <row r="2">
          <cell r="A2">
            <v>1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</row>
        <row r="3">
          <cell r="A3" t="str">
            <v>Payroll Period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 t="str">
            <v>PAYROLL REGISTER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EARNINGS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 t="str">
            <v>DEDUCTION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</row>
        <row r="4">
          <cell r="A4" t="str">
            <v>MAR 2022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NAME</v>
          </cell>
          <cell r="C5" t="str">
            <v>EMPLOYEE'S NAME</v>
          </cell>
          <cell r="D5" t="str">
            <v>ACCOUNT NO.</v>
          </cell>
          <cell r="E5" t="str">
            <v>NET 15</v>
          </cell>
          <cell r="F5" t="str">
            <v>NET 30</v>
          </cell>
          <cell r="G5" t="str">
            <v>NET TOTAL</v>
          </cell>
          <cell r="H5">
            <v>0</v>
          </cell>
          <cell r="I5">
            <v>0</v>
          </cell>
          <cell r="K5">
            <v>0</v>
          </cell>
          <cell r="L5" t="str">
            <v>GROSSEARNINGS</v>
          </cell>
          <cell r="M5" t="str">
            <v>TOTAL DED'N.</v>
          </cell>
          <cell r="N5" t="str">
            <v>SSS CONT</v>
          </cell>
          <cell r="O5" t="str">
            <v>SSSLOAN</v>
          </cell>
          <cell r="P5" t="str">
            <v>HDMFCONT</v>
          </cell>
          <cell r="Q5">
            <v>0</v>
          </cell>
          <cell r="R5" t="str">
            <v>HDMFLOAN</v>
          </cell>
          <cell r="S5" t="str">
            <v>PHICCONT</v>
          </cell>
          <cell r="T5">
            <v>0</v>
          </cell>
          <cell r="U5" t="str">
            <v>OTHERDED'N.</v>
          </cell>
          <cell r="V5" t="str">
            <v>LWOP</v>
          </cell>
          <cell r="W5" t="str">
            <v>BASETAX</v>
          </cell>
          <cell r="X5" t="str">
            <v>ALLOWANCE</v>
          </cell>
          <cell r="Y5" t="str">
            <v>NET 15</v>
          </cell>
          <cell r="Z5" t="str">
            <v>NET 30</v>
          </cell>
          <cell r="AA5" t="str">
            <v>NET EARNINGS</v>
          </cell>
          <cell r="AB5">
            <v>0</v>
          </cell>
          <cell r="AC5">
            <v>0</v>
          </cell>
          <cell r="AF5" t="str">
            <v>NAME</v>
          </cell>
          <cell r="AG5" t="str">
            <v>BASIC RATE</v>
          </cell>
          <cell r="AH5" t="str">
            <v>HOLIDAY PAY</v>
          </cell>
          <cell r="AI5" t="str">
            <v>NIGHT DIFF</v>
          </cell>
          <cell r="AJ5" t="str">
            <v>OT PAY</v>
          </cell>
          <cell r="AK5" t="str">
            <v>OTHER ADDT'L.</v>
          </cell>
          <cell r="AL5" t="str">
            <v>ADJUSTMENT</v>
          </cell>
          <cell r="AN5" t="str">
            <v>GROSS EARNINGS</v>
          </cell>
          <cell r="AQ5" t="str">
            <v>NAME</v>
          </cell>
          <cell r="AS5" t="str">
            <v>SSS CONT</v>
          </cell>
          <cell r="AT5" t="str">
            <v>SSSLOAN</v>
          </cell>
          <cell r="AU5" t="str">
            <v>HDMFCONT</v>
          </cell>
          <cell r="AV5">
            <v>0</v>
          </cell>
          <cell r="AW5" t="str">
            <v>HDMFLOAN</v>
          </cell>
          <cell r="AX5" t="str">
            <v>PHICCONT</v>
          </cell>
          <cell r="AY5">
            <v>0</v>
          </cell>
        </row>
        <row r="6">
          <cell r="A6" t="str">
            <v>Dangoy, Albert John S.</v>
          </cell>
          <cell r="B6" t="str">
            <v>ok</v>
          </cell>
          <cell r="C6" t="str">
            <v>Dangoy, Albert John S.</v>
          </cell>
          <cell r="D6">
            <v>9249537869</v>
          </cell>
          <cell r="E6">
            <v>18543.18</v>
          </cell>
          <cell r="F6">
            <v>18543.179999999997</v>
          </cell>
          <cell r="G6">
            <v>37086.36</v>
          </cell>
          <cell r="H6">
            <v>0</v>
          </cell>
          <cell r="J6" t="str">
            <v>ok</v>
          </cell>
          <cell r="K6" t="str">
            <v>Dangoy, Albert John S.</v>
          </cell>
          <cell r="L6">
            <v>20284.09</v>
          </cell>
          <cell r="M6">
            <v>3197.727272727273</v>
          </cell>
          <cell r="N6">
            <v>900</v>
          </cell>
          <cell r="O6">
            <v>0</v>
          </cell>
          <cell r="P6">
            <v>100</v>
          </cell>
          <cell r="Q6">
            <v>0</v>
          </cell>
          <cell r="R6">
            <v>0</v>
          </cell>
          <cell r="S6">
            <v>300</v>
          </cell>
          <cell r="T6">
            <v>0</v>
          </cell>
          <cell r="U6">
            <v>909.09090909090912</v>
          </cell>
          <cell r="V6">
            <v>988.63636363636374</v>
          </cell>
          <cell r="W6">
            <v>0</v>
          </cell>
          <cell r="X6">
            <v>20000</v>
          </cell>
          <cell r="Y6">
            <v>18543.18</v>
          </cell>
          <cell r="Z6">
            <v>18543.170000000002</v>
          </cell>
          <cell r="AA6">
            <v>37086.362727272732</v>
          </cell>
          <cell r="AB6">
            <v>37086.363636363632</v>
          </cell>
          <cell r="AC6">
            <v>-9.0909090067725629E-4</v>
          </cell>
          <cell r="AE6" t="str">
            <v>ok</v>
          </cell>
          <cell r="AF6" t="str">
            <v>Dangoy, Albert John S.</v>
          </cell>
          <cell r="AG6">
            <v>20000</v>
          </cell>
          <cell r="AI6">
            <v>1829.545454545455</v>
          </cell>
          <cell r="AL6">
            <v>1545.45454545455</v>
          </cell>
          <cell r="AN6">
            <v>20284.09</v>
          </cell>
          <cell r="AP6" t="str">
            <v>ok</v>
          </cell>
          <cell r="AQ6" t="str">
            <v>Dangoy, Albert John S.</v>
          </cell>
          <cell r="AS6">
            <v>900</v>
          </cell>
          <cell r="AT6">
            <v>0</v>
          </cell>
          <cell r="AU6">
            <v>100</v>
          </cell>
          <cell r="AV6">
            <v>0</v>
          </cell>
          <cell r="AW6">
            <v>0</v>
          </cell>
          <cell r="AX6">
            <v>300</v>
          </cell>
          <cell r="AY6">
            <v>0</v>
          </cell>
        </row>
        <row r="7">
          <cell r="A7" t="str">
            <v>Salazar, Jim Tracy J.</v>
          </cell>
          <cell r="B7" t="str">
            <v>ok</v>
          </cell>
          <cell r="C7" t="str">
            <v>Salazar, Jim Tracy J.</v>
          </cell>
          <cell r="D7">
            <v>9249537761</v>
          </cell>
          <cell r="E7">
            <v>20082.95</v>
          </cell>
          <cell r="F7">
            <v>20082.95</v>
          </cell>
          <cell r="G7">
            <v>40165.9</v>
          </cell>
          <cell r="H7">
            <v>0</v>
          </cell>
          <cell r="J7" t="str">
            <v>ok</v>
          </cell>
          <cell r="K7" t="str">
            <v>Salazar, Jim Tracy J.</v>
          </cell>
          <cell r="L7">
            <v>21465.91</v>
          </cell>
          <cell r="M7">
            <v>1300</v>
          </cell>
          <cell r="N7">
            <v>900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300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20000</v>
          </cell>
          <cell r="Y7">
            <v>20082.96</v>
          </cell>
          <cell r="Z7">
            <v>20082.96</v>
          </cell>
          <cell r="AA7">
            <v>40165.910000000003</v>
          </cell>
          <cell r="AB7">
            <v>40165.909090909088</v>
          </cell>
          <cell r="AC7">
            <v>9.0909091522917151E-4</v>
          </cell>
          <cell r="AE7" t="str">
            <v>ok</v>
          </cell>
          <cell r="AF7" t="str">
            <v>Salazar, Jim Tracy J.</v>
          </cell>
          <cell r="AG7">
            <v>20000</v>
          </cell>
          <cell r="AI7">
            <v>1829.545454545455</v>
          </cell>
          <cell r="AL7">
            <v>363.63636363636374</v>
          </cell>
          <cell r="AN7">
            <v>21465.91</v>
          </cell>
          <cell r="AP7" t="str">
            <v>ok</v>
          </cell>
          <cell r="AQ7" t="str">
            <v>Salazar, Jim Tracy J.</v>
          </cell>
          <cell r="AS7">
            <v>900</v>
          </cell>
          <cell r="AT7">
            <v>0</v>
          </cell>
          <cell r="AU7">
            <v>100</v>
          </cell>
          <cell r="AV7">
            <v>0</v>
          </cell>
          <cell r="AW7">
            <v>0</v>
          </cell>
          <cell r="AX7">
            <v>300</v>
          </cell>
          <cell r="AY7">
            <v>0</v>
          </cell>
        </row>
        <row r="8">
          <cell r="A8" t="str">
            <v>Reveriza, Emmar T.</v>
          </cell>
          <cell r="B8" t="str">
            <v>ok</v>
          </cell>
          <cell r="C8" t="str">
            <v>Reveriza, Emmar T.</v>
          </cell>
          <cell r="D8">
            <v>9249537737</v>
          </cell>
          <cell r="E8">
            <v>47770.45</v>
          </cell>
          <cell r="F8">
            <v>47770.45</v>
          </cell>
          <cell r="G8">
            <v>95540.9</v>
          </cell>
          <cell r="H8">
            <v>0</v>
          </cell>
          <cell r="J8" t="str">
            <v>ok</v>
          </cell>
          <cell r="K8" t="str">
            <v>Reveriza, Emmar T.</v>
          </cell>
          <cell r="L8">
            <v>21465.91</v>
          </cell>
          <cell r="M8">
            <v>5925</v>
          </cell>
          <cell r="N8">
            <v>900</v>
          </cell>
          <cell r="O8">
            <v>0</v>
          </cell>
          <cell r="P8">
            <v>100</v>
          </cell>
          <cell r="Q8">
            <v>0</v>
          </cell>
          <cell r="R8">
            <v>0</v>
          </cell>
          <cell r="S8">
            <v>300</v>
          </cell>
          <cell r="T8">
            <v>0</v>
          </cell>
          <cell r="U8">
            <v>3636.3636363636365</v>
          </cell>
          <cell r="V8">
            <v>988.63636363636374</v>
          </cell>
          <cell r="W8">
            <v>0</v>
          </cell>
          <cell r="X8">
            <v>80000</v>
          </cell>
          <cell r="Y8">
            <v>47770.46</v>
          </cell>
          <cell r="Z8">
            <v>47770.46</v>
          </cell>
          <cell r="AA8">
            <v>95540.91</v>
          </cell>
          <cell r="AB8">
            <v>95540.909090909088</v>
          </cell>
          <cell r="AC8">
            <v>9.0909091522917151E-4</v>
          </cell>
          <cell r="AE8" t="str">
            <v>ok</v>
          </cell>
          <cell r="AF8" t="str">
            <v>Reveriza, Emmar T.</v>
          </cell>
          <cell r="AG8">
            <v>20000</v>
          </cell>
          <cell r="AI8">
            <v>1829.545454545455</v>
          </cell>
          <cell r="AL8">
            <v>363.63636363636402</v>
          </cell>
          <cell r="AN8">
            <v>21465.91</v>
          </cell>
          <cell r="AP8" t="str">
            <v>ok</v>
          </cell>
          <cell r="AQ8" t="str">
            <v>Reveriza, Emmar T.</v>
          </cell>
          <cell r="AS8">
            <v>900</v>
          </cell>
          <cell r="AT8">
            <v>0</v>
          </cell>
          <cell r="AU8">
            <v>100</v>
          </cell>
          <cell r="AV8">
            <v>0</v>
          </cell>
          <cell r="AW8">
            <v>0</v>
          </cell>
          <cell r="AX8">
            <v>300</v>
          </cell>
          <cell r="AY8">
            <v>0</v>
          </cell>
        </row>
        <row r="9">
          <cell r="A9" t="str">
            <v>Gulmatico, Joyce A.</v>
          </cell>
          <cell r="B9" t="str">
            <v>ok</v>
          </cell>
          <cell r="C9" t="str">
            <v>Gulmatico, Joyce A.</v>
          </cell>
          <cell r="D9">
            <v>9249537796</v>
          </cell>
          <cell r="E9">
            <v>34492.04</v>
          </cell>
          <cell r="F9">
            <v>34492.04</v>
          </cell>
          <cell r="G9">
            <v>68984.08</v>
          </cell>
          <cell r="H9">
            <v>0</v>
          </cell>
          <cell r="J9" t="str">
            <v>ok</v>
          </cell>
          <cell r="K9" t="str">
            <v>Gulmatico, Joyce A.</v>
          </cell>
          <cell r="L9">
            <v>20284.09</v>
          </cell>
          <cell r="M9">
            <v>1300</v>
          </cell>
          <cell r="N9">
            <v>900</v>
          </cell>
          <cell r="O9">
            <v>0</v>
          </cell>
          <cell r="P9">
            <v>100</v>
          </cell>
          <cell r="Q9">
            <v>0</v>
          </cell>
          <cell r="R9">
            <v>0</v>
          </cell>
          <cell r="S9">
            <v>300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50000</v>
          </cell>
          <cell r="Y9">
            <v>34492.050000000003</v>
          </cell>
          <cell r="Z9">
            <v>34492.050000000003</v>
          </cell>
          <cell r="AA9">
            <v>68984.09</v>
          </cell>
          <cell r="AB9">
            <v>68984.090909090912</v>
          </cell>
          <cell r="AC9">
            <v>-9.0909091522917151E-4</v>
          </cell>
          <cell r="AE9" t="str">
            <v>ok</v>
          </cell>
          <cell r="AF9" t="str">
            <v>Gulmatico, Joyce A.</v>
          </cell>
          <cell r="AG9">
            <v>20000</v>
          </cell>
          <cell r="AI9">
            <v>1829.545454545455</v>
          </cell>
          <cell r="AL9">
            <v>1545.4545454545457</v>
          </cell>
          <cell r="AN9">
            <v>20284.09</v>
          </cell>
          <cell r="AP9" t="str">
            <v>ok</v>
          </cell>
          <cell r="AQ9" t="str">
            <v>Gulmatico, Joyce A.</v>
          </cell>
          <cell r="AS9">
            <v>900</v>
          </cell>
          <cell r="AT9">
            <v>0</v>
          </cell>
          <cell r="AU9">
            <v>100</v>
          </cell>
          <cell r="AV9">
            <v>0</v>
          </cell>
          <cell r="AW9">
            <v>0</v>
          </cell>
          <cell r="AX9">
            <v>300</v>
          </cell>
          <cell r="AY9">
            <v>0</v>
          </cell>
        </row>
        <row r="10">
          <cell r="A10" t="str">
            <v>Manuel, Maria Fe M.</v>
          </cell>
          <cell r="B10" t="str">
            <v>ok</v>
          </cell>
          <cell r="C10" t="str">
            <v>Manuel, Maria Fe M.</v>
          </cell>
          <cell r="D10">
            <v>9249537788</v>
          </cell>
          <cell r="E10">
            <v>34492.04</v>
          </cell>
          <cell r="F10">
            <v>34492.04</v>
          </cell>
          <cell r="G10">
            <v>68984.08</v>
          </cell>
          <cell r="H10">
            <v>0</v>
          </cell>
          <cell r="J10" t="str">
            <v>ok</v>
          </cell>
          <cell r="K10" t="str">
            <v>Manuel, Maria Fe M.</v>
          </cell>
          <cell r="L10">
            <v>20284.09</v>
          </cell>
          <cell r="M10">
            <v>1300</v>
          </cell>
          <cell r="N10">
            <v>900</v>
          </cell>
          <cell r="O10">
            <v>0</v>
          </cell>
          <cell r="P10">
            <v>100</v>
          </cell>
          <cell r="Q10">
            <v>0</v>
          </cell>
          <cell r="R10">
            <v>0</v>
          </cell>
          <cell r="S10">
            <v>300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50000</v>
          </cell>
          <cell r="Y10">
            <v>34492.050000000003</v>
          </cell>
          <cell r="Z10">
            <v>34492.050000000003</v>
          </cell>
          <cell r="AA10">
            <v>68984.09</v>
          </cell>
          <cell r="AB10">
            <v>68984.090909090912</v>
          </cell>
          <cell r="AC10">
            <v>-9.0909091522917151E-4</v>
          </cell>
          <cell r="AE10" t="str">
            <v>ok</v>
          </cell>
          <cell r="AF10" t="str">
            <v>Manuel, Maria Fe M.</v>
          </cell>
          <cell r="AG10">
            <v>20000</v>
          </cell>
          <cell r="AI10">
            <v>1829.545454545455</v>
          </cell>
          <cell r="AL10">
            <v>1545.4545454545457</v>
          </cell>
          <cell r="AN10">
            <v>20284.09</v>
          </cell>
          <cell r="AP10" t="str">
            <v>ok</v>
          </cell>
          <cell r="AQ10" t="str">
            <v>Manuel, Maria Fe M.</v>
          </cell>
          <cell r="AS10">
            <v>900</v>
          </cell>
          <cell r="AT10">
            <v>0</v>
          </cell>
          <cell r="AU10">
            <v>100</v>
          </cell>
          <cell r="AV10">
            <v>0</v>
          </cell>
          <cell r="AW10">
            <v>0</v>
          </cell>
          <cell r="AX10">
            <v>300</v>
          </cell>
          <cell r="AY10">
            <v>0</v>
          </cell>
        </row>
        <row r="11">
          <cell r="A11" t="str">
            <v>Salveron, John V.</v>
          </cell>
          <cell r="B11" t="str">
            <v>ok</v>
          </cell>
          <cell r="C11" t="str">
            <v>Salveron, John V.</v>
          </cell>
          <cell r="D11">
            <v>9249537702</v>
          </cell>
          <cell r="E11">
            <v>13492.039999999999</v>
          </cell>
          <cell r="F11">
            <v>13492.039999999999</v>
          </cell>
          <cell r="G11">
            <v>26984.080000000002</v>
          </cell>
          <cell r="H11">
            <v>0</v>
          </cell>
          <cell r="J11" t="str">
            <v>ok</v>
          </cell>
          <cell r="K11" t="str">
            <v>Salveron, John V.</v>
          </cell>
          <cell r="L11">
            <v>20284.09</v>
          </cell>
          <cell r="M11">
            <v>1300</v>
          </cell>
          <cell r="N11">
            <v>900</v>
          </cell>
          <cell r="O11">
            <v>0</v>
          </cell>
          <cell r="P11">
            <v>100</v>
          </cell>
          <cell r="Q11">
            <v>0</v>
          </cell>
          <cell r="R11">
            <v>0</v>
          </cell>
          <cell r="S11">
            <v>300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8000</v>
          </cell>
          <cell r="Y11">
            <v>13492.05</v>
          </cell>
          <cell r="Z11">
            <v>13492.05</v>
          </cell>
          <cell r="AA11">
            <v>26984.09</v>
          </cell>
          <cell r="AB11">
            <v>26984.090909090912</v>
          </cell>
          <cell r="AC11">
            <v>-9.0909091159119271E-4</v>
          </cell>
          <cell r="AE11" t="str">
            <v>ok</v>
          </cell>
          <cell r="AF11" t="str">
            <v>Salveron, John V.</v>
          </cell>
          <cell r="AG11">
            <v>20000</v>
          </cell>
          <cell r="AI11">
            <v>1829.545454545455</v>
          </cell>
          <cell r="AL11">
            <v>1545.4545454545457</v>
          </cell>
          <cell r="AN11">
            <v>20284.09</v>
          </cell>
          <cell r="AP11" t="str">
            <v>ok</v>
          </cell>
          <cell r="AQ11" t="str">
            <v>Salveron, John V.</v>
          </cell>
          <cell r="AS11">
            <v>900</v>
          </cell>
          <cell r="AT11">
            <v>0</v>
          </cell>
          <cell r="AU11">
            <v>100</v>
          </cell>
          <cell r="AV11">
            <v>0</v>
          </cell>
          <cell r="AW11">
            <v>0</v>
          </cell>
          <cell r="AX11">
            <v>300</v>
          </cell>
          <cell r="AY11">
            <v>0</v>
          </cell>
        </row>
        <row r="12">
          <cell r="A12" t="str">
            <v>Lauresta, Marvin John L.</v>
          </cell>
          <cell r="B12" t="str">
            <v>ok</v>
          </cell>
          <cell r="C12" t="str">
            <v>Lauresta, Marvin John L.</v>
          </cell>
          <cell r="D12">
            <v>9249537699</v>
          </cell>
          <cell r="E12">
            <v>11992.05</v>
          </cell>
          <cell r="G12">
            <v>11992.05</v>
          </cell>
          <cell r="H12">
            <v>0</v>
          </cell>
          <cell r="J12" t="str">
            <v>ok</v>
          </cell>
          <cell r="K12" t="str">
            <v>Lauresta, Marvin John L.</v>
          </cell>
          <cell r="L12">
            <v>20284.09</v>
          </cell>
          <cell r="M12">
            <v>1300</v>
          </cell>
          <cell r="N12">
            <v>900</v>
          </cell>
          <cell r="O12">
            <v>0</v>
          </cell>
          <cell r="P12">
            <v>100</v>
          </cell>
          <cell r="Q12">
            <v>0</v>
          </cell>
          <cell r="R12">
            <v>0</v>
          </cell>
          <cell r="S12">
            <v>300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5000</v>
          </cell>
          <cell r="Y12">
            <v>11992.05</v>
          </cell>
          <cell r="Z12">
            <v>11992.05</v>
          </cell>
          <cell r="AA12">
            <v>23984.09</v>
          </cell>
          <cell r="AB12">
            <v>23984.090909090912</v>
          </cell>
          <cell r="AC12">
            <v>-9.0909091159119271E-4</v>
          </cell>
          <cell r="AE12" t="str">
            <v>ok</v>
          </cell>
          <cell r="AF12" t="str">
            <v>Lauresta, Marvin John L.</v>
          </cell>
          <cell r="AG12">
            <v>20000</v>
          </cell>
          <cell r="AI12">
            <v>1829.545454545455</v>
          </cell>
          <cell r="AL12">
            <v>1545.4545454545457</v>
          </cell>
          <cell r="AN12">
            <v>20284.09</v>
          </cell>
          <cell r="AP12" t="str">
            <v>ok</v>
          </cell>
          <cell r="AQ12" t="str">
            <v>Lauresta, Marvin John L.</v>
          </cell>
          <cell r="AS12">
            <v>900</v>
          </cell>
          <cell r="AT12">
            <v>0</v>
          </cell>
          <cell r="AU12">
            <v>100</v>
          </cell>
          <cell r="AV12">
            <v>0</v>
          </cell>
          <cell r="AW12">
            <v>0</v>
          </cell>
          <cell r="AX12">
            <v>300</v>
          </cell>
          <cell r="AY12">
            <v>0</v>
          </cell>
        </row>
        <row r="13">
          <cell r="A13" t="str">
            <v>Almorin, Mary Flor S.</v>
          </cell>
          <cell r="B13" t="str">
            <v>ok</v>
          </cell>
          <cell r="C13" t="str">
            <v>Almorin, Mary Flor S.</v>
          </cell>
          <cell r="D13">
            <v>9249537672</v>
          </cell>
          <cell r="E13">
            <v>9492.0499999999993</v>
          </cell>
          <cell r="F13">
            <v>9492.0500000000011</v>
          </cell>
          <cell r="G13">
            <v>18984.099999999999</v>
          </cell>
          <cell r="H13">
            <v>0</v>
          </cell>
          <cell r="J13" t="str">
            <v>ok</v>
          </cell>
          <cell r="K13" t="str">
            <v>Almorin, Mary Flor S.</v>
          </cell>
          <cell r="L13">
            <v>20284.09</v>
          </cell>
          <cell r="M13">
            <v>1300</v>
          </cell>
          <cell r="N13">
            <v>900</v>
          </cell>
          <cell r="O13">
            <v>0</v>
          </cell>
          <cell r="P13">
            <v>100</v>
          </cell>
          <cell r="Q13">
            <v>0</v>
          </cell>
          <cell r="R13">
            <v>0</v>
          </cell>
          <cell r="S13">
            <v>300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9492.0499999999993</v>
          </cell>
          <cell r="Z13">
            <v>9492.0399999999991</v>
          </cell>
          <cell r="AA13">
            <v>18984.09</v>
          </cell>
          <cell r="AB13">
            <v>18984.090909090912</v>
          </cell>
          <cell r="AC13">
            <v>-9.0909091159119271E-4</v>
          </cell>
          <cell r="AE13" t="str">
            <v>ok</v>
          </cell>
          <cell r="AF13" t="str">
            <v>Almorin, Mary Flor S.</v>
          </cell>
          <cell r="AG13">
            <v>20000</v>
          </cell>
          <cell r="AI13">
            <v>1829.545454545455</v>
          </cell>
          <cell r="AL13">
            <v>1545.4545454545457</v>
          </cell>
          <cell r="AN13">
            <v>20284.09</v>
          </cell>
          <cell r="AP13" t="str">
            <v>ok</v>
          </cell>
          <cell r="AQ13" t="str">
            <v>Almorin, Mary Flor S.</v>
          </cell>
          <cell r="AS13">
            <v>900</v>
          </cell>
          <cell r="AT13">
            <v>0</v>
          </cell>
          <cell r="AU13">
            <v>100</v>
          </cell>
          <cell r="AV13">
            <v>0</v>
          </cell>
          <cell r="AW13">
            <v>0</v>
          </cell>
          <cell r="AX13">
            <v>300</v>
          </cell>
          <cell r="AY13">
            <v>0</v>
          </cell>
        </row>
        <row r="14">
          <cell r="A14" t="str">
            <v>Mateo Jr., Romeo A.</v>
          </cell>
          <cell r="B14" t="str">
            <v>ok</v>
          </cell>
          <cell r="C14" t="str">
            <v>Mateo Jr., Romeo A.</v>
          </cell>
          <cell r="D14">
            <v>9249537877</v>
          </cell>
          <cell r="E14">
            <v>16992.05</v>
          </cell>
          <cell r="F14">
            <v>16992.05</v>
          </cell>
          <cell r="G14">
            <v>33984.1</v>
          </cell>
          <cell r="H14">
            <v>0</v>
          </cell>
          <cell r="J14" t="str">
            <v>ok</v>
          </cell>
          <cell r="K14" t="str">
            <v>Mateo Jr., Romeo A.</v>
          </cell>
          <cell r="L14">
            <v>20284.09</v>
          </cell>
          <cell r="M14">
            <v>1300</v>
          </cell>
          <cell r="N14">
            <v>900</v>
          </cell>
          <cell r="O14">
            <v>0</v>
          </cell>
          <cell r="P14">
            <v>100</v>
          </cell>
          <cell r="Q14">
            <v>0</v>
          </cell>
          <cell r="R14">
            <v>0</v>
          </cell>
          <cell r="S14">
            <v>300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15000</v>
          </cell>
          <cell r="Y14">
            <v>16992.05</v>
          </cell>
          <cell r="Z14">
            <v>16992.05</v>
          </cell>
          <cell r="AA14">
            <v>33984.089999999997</v>
          </cell>
          <cell r="AB14">
            <v>33984.090909090912</v>
          </cell>
          <cell r="AC14">
            <v>-9.0909091522917151E-4</v>
          </cell>
          <cell r="AE14" t="str">
            <v>ok</v>
          </cell>
          <cell r="AF14" t="str">
            <v>Mateo Jr., Romeo A.</v>
          </cell>
          <cell r="AG14">
            <v>20000</v>
          </cell>
          <cell r="AI14">
            <v>1829.545454545455</v>
          </cell>
          <cell r="AL14">
            <v>1545.4545454545457</v>
          </cell>
          <cell r="AN14">
            <v>20284.09</v>
          </cell>
          <cell r="AP14" t="str">
            <v>ok</v>
          </cell>
          <cell r="AQ14" t="str">
            <v>Mateo Jr., Romeo A.</v>
          </cell>
          <cell r="AS14">
            <v>900</v>
          </cell>
          <cell r="AT14">
            <v>0</v>
          </cell>
          <cell r="AU14">
            <v>100</v>
          </cell>
          <cell r="AV14">
            <v>0</v>
          </cell>
          <cell r="AW14">
            <v>0</v>
          </cell>
          <cell r="AX14">
            <v>300</v>
          </cell>
          <cell r="AY14">
            <v>0</v>
          </cell>
        </row>
        <row r="15">
          <cell r="A15" t="str">
            <v>Villaruz, Roger C.</v>
          </cell>
          <cell r="B15" t="str">
            <v>ok</v>
          </cell>
          <cell r="C15" t="str">
            <v>Villaruz, Roger C.</v>
          </cell>
          <cell r="D15">
            <v>9249537729</v>
          </cell>
          <cell r="E15">
            <v>16992.05</v>
          </cell>
          <cell r="F15">
            <v>16992.05</v>
          </cell>
          <cell r="G15">
            <v>33984.1</v>
          </cell>
          <cell r="H15">
            <v>0</v>
          </cell>
          <cell r="J15" t="str">
            <v>ok</v>
          </cell>
          <cell r="K15" t="str">
            <v>Villaruz, Roger C.</v>
          </cell>
          <cell r="L15">
            <v>20284.09</v>
          </cell>
          <cell r="M15">
            <v>1300</v>
          </cell>
          <cell r="N15">
            <v>900</v>
          </cell>
          <cell r="O15">
            <v>0</v>
          </cell>
          <cell r="P15">
            <v>100</v>
          </cell>
          <cell r="Q15">
            <v>0</v>
          </cell>
          <cell r="R15">
            <v>0</v>
          </cell>
          <cell r="S15">
            <v>300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15000</v>
          </cell>
          <cell r="Y15">
            <v>16992.05</v>
          </cell>
          <cell r="Z15">
            <v>16992.05</v>
          </cell>
          <cell r="AA15">
            <v>33984.089999999997</v>
          </cell>
          <cell r="AB15">
            <v>33984.090909090912</v>
          </cell>
          <cell r="AC15">
            <v>-9.0909091522917151E-4</v>
          </cell>
          <cell r="AE15" t="str">
            <v>ok</v>
          </cell>
          <cell r="AF15" t="str">
            <v>Villaruz, Roger C.</v>
          </cell>
          <cell r="AG15">
            <v>20000</v>
          </cell>
          <cell r="AI15">
            <v>1829.545454545455</v>
          </cell>
          <cell r="AL15">
            <v>1545.4545454545457</v>
          </cell>
          <cell r="AN15">
            <v>20284.09</v>
          </cell>
          <cell r="AP15" t="str">
            <v>ok</v>
          </cell>
          <cell r="AQ15" t="str">
            <v>Villaruz, Roger C.</v>
          </cell>
          <cell r="AS15">
            <v>900</v>
          </cell>
          <cell r="AT15">
            <v>0</v>
          </cell>
          <cell r="AU15">
            <v>100</v>
          </cell>
          <cell r="AV15">
            <v>0</v>
          </cell>
          <cell r="AW15">
            <v>0</v>
          </cell>
          <cell r="AX15">
            <v>300</v>
          </cell>
          <cell r="AY15">
            <v>0</v>
          </cell>
        </row>
        <row r="16">
          <cell r="A16" t="str">
            <v>Alinsangan, Mary Hannah</v>
          </cell>
          <cell r="B16" t="str">
            <v>ok</v>
          </cell>
          <cell r="C16" t="str">
            <v>Alinsangan, Mary Hannah</v>
          </cell>
          <cell r="D16">
            <v>9249539462</v>
          </cell>
          <cell r="E16">
            <v>8083.24</v>
          </cell>
          <cell r="F16">
            <v>8083.24</v>
          </cell>
          <cell r="G16">
            <v>16166.48</v>
          </cell>
          <cell r="H16">
            <v>0</v>
          </cell>
          <cell r="J16" t="str">
            <v>ok</v>
          </cell>
          <cell r="K16" t="str">
            <v>Alinsangan, Mary Hannah</v>
          </cell>
          <cell r="L16">
            <v>17286.48</v>
          </cell>
          <cell r="M16">
            <v>1120</v>
          </cell>
          <cell r="N16">
            <v>765</v>
          </cell>
          <cell r="O16">
            <v>0</v>
          </cell>
          <cell r="P16">
            <v>100</v>
          </cell>
          <cell r="Q16">
            <v>0</v>
          </cell>
          <cell r="R16">
            <v>0</v>
          </cell>
          <cell r="S16">
            <v>255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8083.24</v>
          </cell>
          <cell r="Z16">
            <v>8083.24</v>
          </cell>
          <cell r="AA16">
            <v>16166.48</v>
          </cell>
          <cell r="AB16">
            <v>16166.477272727272</v>
          </cell>
          <cell r="AC16">
            <v>2.7272727274976205E-3</v>
          </cell>
          <cell r="AE16" t="str">
            <v>ok</v>
          </cell>
          <cell r="AF16" t="str">
            <v>Alinsangan, Mary Hannah</v>
          </cell>
          <cell r="AG16">
            <v>17000</v>
          </cell>
          <cell r="AI16">
            <v>1555.1136363636365</v>
          </cell>
          <cell r="AK16">
            <v>45</v>
          </cell>
          <cell r="AL16">
            <v>1313.6363636363637</v>
          </cell>
          <cell r="AN16">
            <v>17286.48</v>
          </cell>
          <cell r="AP16" t="str">
            <v>ok</v>
          </cell>
          <cell r="AQ16" t="str">
            <v>Alinsangan, Mary Hannah</v>
          </cell>
          <cell r="AS16">
            <v>765</v>
          </cell>
          <cell r="AT16">
            <v>0</v>
          </cell>
          <cell r="AU16">
            <v>100</v>
          </cell>
          <cell r="AV16">
            <v>0</v>
          </cell>
          <cell r="AW16">
            <v>0</v>
          </cell>
          <cell r="AX16">
            <v>255</v>
          </cell>
          <cell r="AY16">
            <v>0</v>
          </cell>
        </row>
        <row r="17">
          <cell r="A17" t="str">
            <v>Guinanao, Jelyn</v>
          </cell>
          <cell r="B17" t="str">
            <v>ok</v>
          </cell>
          <cell r="C17" t="str">
            <v>Guinanao, Jelyn</v>
          </cell>
          <cell r="D17">
            <v>9249541513</v>
          </cell>
          <cell r="E17">
            <v>10992.05</v>
          </cell>
          <cell r="F17">
            <v>10992.05</v>
          </cell>
          <cell r="G17">
            <v>21984.1</v>
          </cell>
          <cell r="H17">
            <v>0</v>
          </cell>
          <cell r="J17" t="str">
            <v>ok</v>
          </cell>
          <cell r="K17" t="str">
            <v>Guinanao, Jelyn</v>
          </cell>
          <cell r="L17">
            <v>20284.09</v>
          </cell>
          <cell r="M17">
            <v>1300</v>
          </cell>
          <cell r="N17">
            <v>900</v>
          </cell>
          <cell r="O17">
            <v>0</v>
          </cell>
          <cell r="P17">
            <v>100</v>
          </cell>
          <cell r="Q17">
            <v>0</v>
          </cell>
          <cell r="R17">
            <v>0</v>
          </cell>
          <cell r="S17">
            <v>300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3000</v>
          </cell>
          <cell r="Y17">
            <v>10992.05</v>
          </cell>
          <cell r="Z17">
            <v>10992.05</v>
          </cell>
          <cell r="AA17">
            <v>21984.09</v>
          </cell>
          <cell r="AB17">
            <v>21984.090909090912</v>
          </cell>
          <cell r="AC17">
            <v>-9.0909091159119271E-4</v>
          </cell>
          <cell r="AE17" t="str">
            <v>ok</v>
          </cell>
          <cell r="AF17" t="str">
            <v>Guinanao, Jelyn</v>
          </cell>
          <cell r="AG17">
            <v>20000</v>
          </cell>
          <cell r="AI17">
            <v>1829.545454545455</v>
          </cell>
          <cell r="AL17">
            <v>1545.4545454545457</v>
          </cell>
          <cell r="AN17">
            <v>20284.09</v>
          </cell>
          <cell r="AP17" t="str">
            <v>ok</v>
          </cell>
          <cell r="AQ17" t="str">
            <v>Guinanao, Jelyn</v>
          </cell>
          <cell r="AR17">
            <v>0</v>
          </cell>
          <cell r="AS17">
            <v>900</v>
          </cell>
          <cell r="AU17">
            <v>100</v>
          </cell>
          <cell r="AX17">
            <v>300</v>
          </cell>
        </row>
        <row r="18">
          <cell r="A18" t="str">
            <v xml:space="preserve">San Miguel, Genesse </v>
          </cell>
          <cell r="B18" t="str">
            <v>ok</v>
          </cell>
          <cell r="C18" t="str">
            <v xml:space="preserve">San Miguel, Genesse </v>
          </cell>
          <cell r="D18">
            <v>9249537796</v>
          </cell>
          <cell r="E18">
            <v>15344.32</v>
          </cell>
          <cell r="F18">
            <v>15344.32</v>
          </cell>
          <cell r="G18">
            <v>30688.639999999999</v>
          </cell>
          <cell r="H18">
            <v>0</v>
          </cell>
          <cell r="J18" t="str">
            <v>ok</v>
          </cell>
          <cell r="K18" t="str">
            <v xml:space="preserve">San Miguel, Genesse </v>
          </cell>
          <cell r="L18">
            <v>31988.639999999999</v>
          </cell>
          <cell r="M18">
            <v>1300</v>
          </cell>
          <cell r="N18">
            <v>900</v>
          </cell>
          <cell r="O18">
            <v>0</v>
          </cell>
          <cell r="P18">
            <v>100</v>
          </cell>
          <cell r="Q18">
            <v>0</v>
          </cell>
          <cell r="R18">
            <v>0</v>
          </cell>
          <cell r="S18">
            <v>300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15344.32</v>
          </cell>
          <cell r="Z18">
            <v>15344.32</v>
          </cell>
          <cell r="AA18">
            <v>30688.639999999999</v>
          </cell>
          <cell r="AB18">
            <v>30688.636363636368</v>
          </cell>
          <cell r="AC18">
            <v>3.6363636318128556E-3</v>
          </cell>
          <cell r="AE18" t="str">
            <v>ok</v>
          </cell>
          <cell r="AF18" t="str">
            <v xml:space="preserve">San Miguel, Genesse </v>
          </cell>
          <cell r="AG18">
            <v>20000</v>
          </cell>
          <cell r="AI18">
            <v>1829.545454545455</v>
          </cell>
          <cell r="AK18">
            <v>10159.09090909091</v>
          </cell>
          <cell r="AN18">
            <v>31988.639999999999</v>
          </cell>
          <cell r="AP18" t="str">
            <v>ok</v>
          </cell>
          <cell r="AQ18" t="str">
            <v xml:space="preserve">San Miguel, Genesse </v>
          </cell>
          <cell r="AR18">
            <v>0</v>
          </cell>
          <cell r="AS18">
            <v>900</v>
          </cell>
          <cell r="AU18">
            <v>100</v>
          </cell>
          <cell r="AX18">
            <v>300</v>
          </cell>
        </row>
        <row r="19">
          <cell r="A19" t="str">
            <v>Colonia, Shiela</v>
          </cell>
          <cell r="B19" t="str">
            <v>ok</v>
          </cell>
          <cell r="C19" t="str">
            <v>Colonia, Shiela</v>
          </cell>
          <cell r="D19">
            <v>9249537796</v>
          </cell>
          <cell r="E19">
            <v>18980.68</v>
          </cell>
          <cell r="F19">
            <v>18980.68</v>
          </cell>
          <cell r="G19">
            <v>37961.360000000001</v>
          </cell>
          <cell r="H19">
            <v>0</v>
          </cell>
          <cell r="J19" t="str">
            <v>ok</v>
          </cell>
          <cell r="K19" t="str">
            <v>Colonia, Shiela</v>
          </cell>
          <cell r="L19">
            <v>34261.360000000001</v>
          </cell>
          <cell r="M19">
            <v>1300</v>
          </cell>
          <cell r="N19">
            <v>900</v>
          </cell>
          <cell r="O19">
            <v>0</v>
          </cell>
          <cell r="P19">
            <v>100</v>
          </cell>
          <cell r="Q19">
            <v>0</v>
          </cell>
          <cell r="R19">
            <v>0</v>
          </cell>
          <cell r="S19">
            <v>300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5000</v>
          </cell>
          <cell r="Y19">
            <v>18980.68</v>
          </cell>
          <cell r="Z19">
            <v>18980.68</v>
          </cell>
          <cell r="AA19">
            <v>37961.360000000001</v>
          </cell>
          <cell r="AB19">
            <v>37961.355454545454</v>
          </cell>
          <cell r="AC19">
            <v>4.5454545470420271E-3</v>
          </cell>
          <cell r="AE19" t="str">
            <v>ok</v>
          </cell>
          <cell r="AF19" t="str">
            <v>Colonia, Shiela</v>
          </cell>
          <cell r="AG19">
            <v>20000</v>
          </cell>
          <cell r="AI19">
            <v>1829.545454545455</v>
          </cell>
          <cell r="AK19">
            <v>12431.81</v>
          </cell>
          <cell r="AN19">
            <v>34261.360000000001</v>
          </cell>
          <cell r="AP19" t="str">
            <v>ok</v>
          </cell>
          <cell r="AQ19" t="str">
            <v>Colonia, Shiela</v>
          </cell>
          <cell r="AR19">
            <v>0</v>
          </cell>
          <cell r="AS19">
            <v>900</v>
          </cell>
          <cell r="AU19">
            <v>100</v>
          </cell>
          <cell r="AX19">
            <v>300</v>
          </cell>
        </row>
        <row r="20">
          <cell r="A20" t="str">
            <v>Buño, Ernesto Jr</v>
          </cell>
          <cell r="B20" t="str">
            <v>ok</v>
          </cell>
          <cell r="C20" t="str">
            <v>Buño, Ernesto Jr</v>
          </cell>
          <cell r="D20">
            <v>9249526662</v>
          </cell>
          <cell r="E20">
            <v>33526.14</v>
          </cell>
          <cell r="F20">
            <v>33526.14</v>
          </cell>
          <cell r="G20">
            <v>67052.28</v>
          </cell>
          <cell r="H20">
            <v>0</v>
          </cell>
          <cell r="J20" t="str">
            <v>ok</v>
          </cell>
          <cell r="K20" t="str">
            <v>Buño, Ernesto Jr</v>
          </cell>
          <cell r="L20">
            <v>43352.27</v>
          </cell>
          <cell r="M20">
            <v>1300</v>
          </cell>
          <cell r="N20">
            <v>900</v>
          </cell>
          <cell r="O20">
            <v>0</v>
          </cell>
          <cell r="P20">
            <v>100</v>
          </cell>
          <cell r="Q20">
            <v>0</v>
          </cell>
          <cell r="R20">
            <v>0</v>
          </cell>
          <cell r="S20">
            <v>300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25000</v>
          </cell>
          <cell r="Y20">
            <v>33526.129999999997</v>
          </cell>
          <cell r="Z20">
            <v>33526.119999999995</v>
          </cell>
          <cell r="AA20">
            <v>67052.259999999995</v>
          </cell>
          <cell r="AB20">
            <v>67052.272727272735</v>
          </cell>
          <cell r="AC20">
            <v>-1.2727272740448825E-2</v>
          </cell>
          <cell r="AE20" t="str">
            <v>ok</v>
          </cell>
          <cell r="AF20" t="str">
            <v>Buño, Ernesto Jr</v>
          </cell>
          <cell r="AG20">
            <v>20000</v>
          </cell>
          <cell r="AI20">
            <v>1829.545454545455</v>
          </cell>
          <cell r="AK20">
            <v>21522.727272727272</v>
          </cell>
          <cell r="AN20">
            <v>43352.27</v>
          </cell>
          <cell r="AP20" t="str">
            <v>ok</v>
          </cell>
          <cell r="AQ20" t="str">
            <v>Buño, Ernesto Jr</v>
          </cell>
          <cell r="AR20">
            <v>0</v>
          </cell>
          <cell r="AS20">
            <v>900</v>
          </cell>
          <cell r="AU20">
            <v>100</v>
          </cell>
          <cell r="AX20">
            <v>300</v>
          </cell>
        </row>
        <row r="21">
          <cell r="A21" t="str">
            <v>Aquit, April Rose</v>
          </cell>
          <cell r="B21" t="str">
            <v>ok</v>
          </cell>
          <cell r="C21" t="str">
            <v>Aquit, April Rose</v>
          </cell>
          <cell r="D21">
            <v>9249537796</v>
          </cell>
          <cell r="E21">
            <v>16469.310000000001</v>
          </cell>
          <cell r="F21">
            <v>16469.309999999998</v>
          </cell>
          <cell r="G21">
            <v>32938.620000000003</v>
          </cell>
          <cell r="H21">
            <v>0</v>
          </cell>
          <cell r="J21" t="str">
            <v>ok</v>
          </cell>
          <cell r="K21" t="str">
            <v>Aquit, April Rose</v>
          </cell>
          <cell r="L21">
            <v>21829.55</v>
          </cell>
          <cell r="M21">
            <v>8890.92</v>
          </cell>
          <cell r="N21">
            <v>900</v>
          </cell>
          <cell r="O21">
            <v>0</v>
          </cell>
          <cell r="P21">
            <v>100</v>
          </cell>
          <cell r="Q21">
            <v>0</v>
          </cell>
          <cell r="R21">
            <v>0</v>
          </cell>
          <cell r="S21">
            <v>300</v>
          </cell>
          <cell r="T21">
            <v>0</v>
          </cell>
          <cell r="U21">
            <v>7590.92</v>
          </cell>
          <cell r="V21">
            <v>0</v>
          </cell>
          <cell r="W21">
            <v>0</v>
          </cell>
          <cell r="X21">
            <v>20000</v>
          </cell>
          <cell r="Y21">
            <v>16469.310000000001</v>
          </cell>
          <cell r="Z21">
            <v>16469.300000000003</v>
          </cell>
          <cell r="AA21">
            <v>32938.619999999995</v>
          </cell>
          <cell r="AB21">
            <v>32938.625454545458</v>
          </cell>
          <cell r="AC21">
            <v>-5.4545454622711986E-3</v>
          </cell>
          <cell r="AE21" t="str">
            <v>ok</v>
          </cell>
          <cell r="AF21" t="str">
            <v>Aquit, April Rose</v>
          </cell>
          <cell r="AG21">
            <v>20000</v>
          </cell>
          <cell r="AI21">
            <v>1829.545454545455</v>
          </cell>
          <cell r="AN21">
            <v>21829.55</v>
          </cell>
          <cell r="AP21" t="str">
            <v>ok</v>
          </cell>
          <cell r="AQ21" t="str">
            <v>Aquit, April Rose</v>
          </cell>
          <cell r="AR21">
            <v>0</v>
          </cell>
          <cell r="AS21">
            <v>900</v>
          </cell>
          <cell r="AU21">
            <v>100</v>
          </cell>
          <cell r="AX21">
            <v>300</v>
          </cell>
        </row>
        <row r="22">
          <cell r="A22">
            <v>0</v>
          </cell>
          <cell r="C22">
            <v>0</v>
          </cell>
          <cell r="D22">
            <v>0</v>
          </cell>
          <cell r="K22">
            <v>0</v>
          </cell>
          <cell r="N22">
            <v>0</v>
          </cell>
          <cell r="P22">
            <v>0</v>
          </cell>
          <cell r="Q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AG22">
            <v>0</v>
          </cell>
          <cell r="AN22">
            <v>0</v>
          </cell>
          <cell r="AQ22">
            <v>0</v>
          </cell>
          <cell r="AR22">
            <v>0</v>
          </cell>
        </row>
        <row r="23">
          <cell r="A23" t="str">
            <v>TOTAL</v>
          </cell>
          <cell r="B23">
            <v>0</v>
          </cell>
          <cell r="C23" t="str">
            <v>TOTAL</v>
          </cell>
          <cell r="D23">
            <v>0</v>
          </cell>
          <cell r="E23">
            <v>327736.63999999996</v>
          </cell>
          <cell r="F23">
            <v>315744.58999999997</v>
          </cell>
          <cell r="G23">
            <v>643481.23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374206.93</v>
          </cell>
          <cell r="M23">
            <v>34733.64727272727</v>
          </cell>
          <cell r="N23">
            <v>14265</v>
          </cell>
          <cell r="O23">
            <v>0</v>
          </cell>
          <cell r="P23">
            <v>1600</v>
          </cell>
          <cell r="Q23">
            <v>0</v>
          </cell>
          <cell r="R23">
            <v>0</v>
          </cell>
          <cell r="S23">
            <v>4755</v>
          </cell>
          <cell r="T23">
            <v>0</v>
          </cell>
          <cell r="U23">
            <v>12136.374545454546</v>
          </cell>
          <cell r="V23">
            <v>1977.2727272727275</v>
          </cell>
          <cell r="W23">
            <v>0</v>
          </cell>
          <cell r="X23">
            <v>316000</v>
          </cell>
          <cell r="Y23">
            <v>327736.67999999993</v>
          </cell>
          <cell r="Z23">
            <v>327736.63999999996</v>
          </cell>
          <cell r="AA23">
            <v>655473.26272727281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 t="str">
            <v>TOTAL</v>
          </cell>
          <cell r="AG23">
            <v>317000</v>
          </cell>
          <cell r="AH23">
            <v>0</v>
          </cell>
          <cell r="AI23">
            <v>28998.29545454547</v>
          </cell>
          <cell r="AJ23">
            <v>0</v>
          </cell>
          <cell r="AK23">
            <v>44158.628181818181</v>
          </cell>
          <cell r="AL23">
            <v>15950.000000000009</v>
          </cell>
          <cell r="AM23">
            <v>0</v>
          </cell>
          <cell r="AN23">
            <v>374206.93</v>
          </cell>
          <cell r="AO23">
            <v>0</v>
          </cell>
          <cell r="AP23">
            <v>0</v>
          </cell>
          <cell r="AQ23" t="str">
            <v>TOTAL</v>
          </cell>
          <cell r="AR23">
            <v>0</v>
          </cell>
          <cell r="AS23">
            <v>14265</v>
          </cell>
          <cell r="AT23">
            <v>0</v>
          </cell>
          <cell r="AU23">
            <v>1600</v>
          </cell>
          <cell r="AV23">
            <v>0</v>
          </cell>
          <cell r="AW23">
            <v>0</v>
          </cell>
          <cell r="AX23">
            <v>4755</v>
          </cell>
          <cell r="AY23">
            <v>0</v>
          </cell>
        </row>
        <row r="24">
          <cell r="A24">
            <v>16</v>
          </cell>
          <cell r="B24">
            <v>0</v>
          </cell>
          <cell r="C24">
            <v>0</v>
          </cell>
          <cell r="D24">
            <v>0</v>
          </cell>
          <cell r="E24">
            <v>327736.6381818183</v>
          </cell>
          <cell r="F24">
            <v>315744.59000000003</v>
          </cell>
          <cell r="G24">
            <v>643481.2263636369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374206.92363636364</v>
          </cell>
          <cell r="M24">
            <v>34733.64727272727</v>
          </cell>
          <cell r="N24">
            <v>14265</v>
          </cell>
          <cell r="O24">
            <v>0</v>
          </cell>
          <cell r="P24">
            <v>1600</v>
          </cell>
          <cell r="Q24">
            <v>0</v>
          </cell>
          <cell r="R24">
            <v>0</v>
          </cell>
          <cell r="S24">
            <v>4755</v>
          </cell>
          <cell r="T24">
            <v>0</v>
          </cell>
          <cell r="U24">
            <v>12136.374545454546</v>
          </cell>
          <cell r="V24">
            <v>1977.2727272727275</v>
          </cell>
          <cell r="W24">
            <v>0</v>
          </cell>
          <cell r="X24">
            <v>316000</v>
          </cell>
          <cell r="Y24">
            <v>327736.6381818183</v>
          </cell>
          <cell r="Z24">
            <v>327736.6381818183</v>
          </cell>
          <cell r="AA24">
            <v>655473.2763636366</v>
          </cell>
          <cell r="AB24">
            <v>0</v>
          </cell>
          <cell r="AC24">
            <v>0</v>
          </cell>
          <cell r="AE24">
            <v>0</v>
          </cell>
          <cell r="AF24">
            <v>0</v>
          </cell>
          <cell r="AG24">
            <v>317000</v>
          </cell>
          <cell r="AH24">
            <v>0</v>
          </cell>
          <cell r="AI24">
            <v>28998.29545454547</v>
          </cell>
          <cell r="AJ24">
            <v>0</v>
          </cell>
          <cell r="AK24">
            <v>44158.628181818181</v>
          </cell>
          <cell r="AL24">
            <v>15950.000000000009</v>
          </cell>
          <cell r="AM24">
            <v>0</v>
          </cell>
          <cell r="AN24">
            <v>374206.92363636364</v>
          </cell>
          <cell r="AP24">
            <v>0</v>
          </cell>
          <cell r="AQ24">
            <v>0</v>
          </cell>
          <cell r="AR24">
            <v>0</v>
          </cell>
          <cell r="AS24">
            <v>14265</v>
          </cell>
          <cell r="AT24">
            <v>0</v>
          </cell>
          <cell r="AU24">
            <v>1600</v>
          </cell>
          <cell r="AV24">
            <v>0</v>
          </cell>
          <cell r="AW24">
            <v>0</v>
          </cell>
          <cell r="AX24">
            <v>4755</v>
          </cell>
          <cell r="AY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1.8181816558353603E-3</v>
          </cell>
          <cell r="F25">
            <v>0</v>
          </cell>
          <cell r="G25">
            <v>3.6363630788400769E-3</v>
          </cell>
          <cell r="H25">
            <v>0</v>
          </cell>
          <cell r="I25">
            <v>0</v>
          </cell>
          <cell r="J25">
            <v>0</v>
          </cell>
          <cell r="L25">
            <v>6.3636363483965397E-3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4.1818181634880602E-2</v>
          </cell>
          <cell r="Z25">
            <v>1.8181816558353603E-3</v>
          </cell>
          <cell r="AA25">
            <v>-1.3636363786645234E-2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6.3636363483965397E-3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</row>
        <row r="26"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</row>
      </sheetData>
      <sheetData sheetId="7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</row>
        <row r="3">
          <cell r="A3" t="str">
            <v>Payroll Period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 t="str">
            <v>PAYROLL REGISTER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EARNINGS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 t="str">
            <v>DEDUCTION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</row>
        <row r="4">
          <cell r="A4" t="str">
            <v>APRIL 2022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NAME</v>
          </cell>
          <cell r="C5" t="str">
            <v>EMPLOYEE'S NAME</v>
          </cell>
          <cell r="D5" t="str">
            <v>ACCOUNT NO.</v>
          </cell>
          <cell r="E5" t="str">
            <v>NET 15</v>
          </cell>
          <cell r="F5" t="str">
            <v>NET 30</v>
          </cell>
          <cell r="G5" t="str">
            <v>NET TOTAL</v>
          </cell>
          <cell r="H5">
            <v>0</v>
          </cell>
          <cell r="I5">
            <v>0</v>
          </cell>
          <cell r="K5">
            <v>0</v>
          </cell>
          <cell r="L5" t="str">
            <v>GROSSEARNINGS</v>
          </cell>
          <cell r="M5" t="str">
            <v>TOTAL DED'N.</v>
          </cell>
          <cell r="N5" t="str">
            <v>SSS CONT</v>
          </cell>
          <cell r="O5" t="str">
            <v>SSSLOAN</v>
          </cell>
          <cell r="P5" t="str">
            <v>HDMFCONT</v>
          </cell>
          <cell r="Q5">
            <v>0</v>
          </cell>
          <cell r="R5" t="str">
            <v>HDMFLOAN</v>
          </cell>
          <cell r="S5" t="str">
            <v>PHICCONT</v>
          </cell>
          <cell r="T5">
            <v>0</v>
          </cell>
          <cell r="U5" t="str">
            <v>OTHERDED'N.</v>
          </cell>
          <cell r="V5" t="str">
            <v>LWOP</v>
          </cell>
          <cell r="W5" t="str">
            <v>BASETAX</v>
          </cell>
          <cell r="X5" t="str">
            <v>ALLOWANCE</v>
          </cell>
          <cell r="Y5" t="str">
            <v>NET 15</v>
          </cell>
          <cell r="Z5" t="str">
            <v>NET 30</v>
          </cell>
          <cell r="AA5" t="str">
            <v>NET EARNINGS</v>
          </cell>
          <cell r="AB5">
            <v>0</v>
          </cell>
          <cell r="AC5">
            <v>0</v>
          </cell>
          <cell r="AF5" t="str">
            <v>NAME</v>
          </cell>
          <cell r="AG5" t="str">
            <v>BASIC RATE</v>
          </cell>
          <cell r="AH5" t="str">
            <v>HOLIDAY PAY</v>
          </cell>
          <cell r="AI5" t="str">
            <v>NIGHT DIFF</v>
          </cell>
          <cell r="AJ5" t="str">
            <v>OT PAY</v>
          </cell>
          <cell r="AK5" t="str">
            <v>OTHER ADDT'L.</v>
          </cell>
          <cell r="AL5" t="str">
            <v>ADJUSTMENT</v>
          </cell>
          <cell r="AN5" t="str">
            <v>GROSS EARNINGS</v>
          </cell>
          <cell r="AQ5" t="str">
            <v>NAME</v>
          </cell>
          <cell r="AS5" t="str">
            <v>SSS CONT</v>
          </cell>
          <cell r="AT5" t="str">
            <v>SSSLOAN</v>
          </cell>
          <cell r="AU5" t="str">
            <v>HDMFCONT</v>
          </cell>
          <cell r="AV5">
            <v>0</v>
          </cell>
          <cell r="AW5" t="str">
            <v>HDMFLOAN</v>
          </cell>
          <cell r="AX5" t="str">
            <v>PHICCONT</v>
          </cell>
          <cell r="AY5">
            <v>0</v>
          </cell>
        </row>
        <row r="6">
          <cell r="A6" t="str">
            <v>Dangoy, Albert John S.</v>
          </cell>
          <cell r="B6" t="str">
            <v>ok</v>
          </cell>
          <cell r="C6" t="str">
            <v>Dangoy, Albert John S.</v>
          </cell>
          <cell r="D6">
            <v>9249537869</v>
          </cell>
          <cell r="E6">
            <v>21816.48</v>
          </cell>
          <cell r="F6">
            <v>21816.47</v>
          </cell>
          <cell r="G6">
            <v>43632.95</v>
          </cell>
          <cell r="H6">
            <v>0</v>
          </cell>
          <cell r="J6" t="str">
            <v>ok</v>
          </cell>
          <cell r="K6" t="str">
            <v>Dangoy, Albert John S.</v>
          </cell>
          <cell r="L6">
            <v>24932.95</v>
          </cell>
          <cell r="M6">
            <v>1300</v>
          </cell>
          <cell r="N6">
            <v>900</v>
          </cell>
          <cell r="O6">
            <v>0</v>
          </cell>
          <cell r="P6">
            <v>100</v>
          </cell>
          <cell r="Q6">
            <v>0</v>
          </cell>
          <cell r="R6">
            <v>0</v>
          </cell>
          <cell r="S6">
            <v>300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20000</v>
          </cell>
          <cell r="Y6">
            <v>21816.48</v>
          </cell>
          <cell r="Z6">
            <v>21816.47</v>
          </cell>
          <cell r="AA6">
            <v>43632.95</v>
          </cell>
          <cell r="AB6">
            <v>43632.954545454544</v>
          </cell>
          <cell r="AC6">
            <v>-4.5454545470420271E-3</v>
          </cell>
          <cell r="AE6" t="str">
            <v>ok</v>
          </cell>
          <cell r="AF6" t="str">
            <v>Dangoy, Albert John S.</v>
          </cell>
          <cell r="AG6">
            <v>20000</v>
          </cell>
          <cell r="AH6">
            <v>3000</v>
          </cell>
          <cell r="AI6">
            <v>1932.9545454545457</v>
          </cell>
          <cell r="AN6">
            <v>24932.95</v>
          </cell>
          <cell r="AP6" t="str">
            <v>ok</v>
          </cell>
          <cell r="AQ6" t="str">
            <v>Dangoy, Albert John S.</v>
          </cell>
          <cell r="AS6">
            <v>900</v>
          </cell>
          <cell r="AT6">
            <v>0</v>
          </cell>
          <cell r="AU6">
            <v>100</v>
          </cell>
          <cell r="AV6">
            <v>0</v>
          </cell>
          <cell r="AW6">
            <v>0</v>
          </cell>
          <cell r="AX6">
            <v>300</v>
          </cell>
          <cell r="AY6">
            <v>0</v>
          </cell>
        </row>
        <row r="7">
          <cell r="A7" t="str">
            <v>Salazar, Jim Tracy J.</v>
          </cell>
          <cell r="B7" t="str">
            <v>ok</v>
          </cell>
          <cell r="C7" t="str">
            <v>Salazar, Jim Tracy J.</v>
          </cell>
          <cell r="D7">
            <v>9249537761</v>
          </cell>
          <cell r="E7">
            <v>17440.13</v>
          </cell>
          <cell r="F7">
            <v>17440.120000000003</v>
          </cell>
          <cell r="G7">
            <v>34880.25</v>
          </cell>
          <cell r="H7">
            <v>0</v>
          </cell>
          <cell r="J7" t="str">
            <v>ok</v>
          </cell>
          <cell r="K7" t="str">
            <v>Salazar, Jim Tracy J.</v>
          </cell>
          <cell r="L7">
            <v>24932.95</v>
          </cell>
          <cell r="M7">
            <v>10052.700000000001</v>
          </cell>
          <cell r="N7">
            <v>900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300</v>
          </cell>
          <cell r="T7">
            <v>0</v>
          </cell>
          <cell r="U7">
            <v>3809.52</v>
          </cell>
          <cell r="V7">
            <v>4943.18</v>
          </cell>
          <cell r="W7">
            <v>0</v>
          </cell>
          <cell r="X7">
            <v>20000</v>
          </cell>
          <cell r="Y7">
            <v>17440.13</v>
          </cell>
          <cell r="Z7">
            <v>17440.13</v>
          </cell>
          <cell r="AA7">
            <v>34880.25</v>
          </cell>
          <cell r="AB7">
            <v>34880.254545454547</v>
          </cell>
          <cell r="AC7">
            <v>-4.5454545470420271E-3</v>
          </cell>
          <cell r="AE7" t="str">
            <v>ok</v>
          </cell>
          <cell r="AF7" t="str">
            <v>Salazar, Jim Tracy J.</v>
          </cell>
          <cell r="AG7">
            <v>20000</v>
          </cell>
          <cell r="AH7">
            <v>3000</v>
          </cell>
          <cell r="AI7">
            <v>1932.9545454545457</v>
          </cell>
          <cell r="AN7">
            <v>24932.95</v>
          </cell>
          <cell r="AP7" t="str">
            <v>ok</v>
          </cell>
          <cell r="AQ7" t="str">
            <v>Salazar, Jim Tracy J.</v>
          </cell>
          <cell r="AS7">
            <v>900</v>
          </cell>
          <cell r="AT7">
            <v>0</v>
          </cell>
          <cell r="AU7">
            <v>100</v>
          </cell>
          <cell r="AV7">
            <v>0</v>
          </cell>
          <cell r="AW7">
            <v>0</v>
          </cell>
          <cell r="AX7">
            <v>300</v>
          </cell>
          <cell r="AY7">
            <v>0</v>
          </cell>
        </row>
        <row r="8">
          <cell r="A8" t="str">
            <v>Reveriza, Emmar T.</v>
          </cell>
          <cell r="B8" t="str">
            <v>ok</v>
          </cell>
          <cell r="C8" t="str">
            <v>Reveriza, Emmar T.</v>
          </cell>
          <cell r="D8">
            <v>9249537737</v>
          </cell>
          <cell r="E8">
            <v>51816.480000000003</v>
          </cell>
          <cell r="F8">
            <v>51816.47</v>
          </cell>
          <cell r="G8">
            <v>103632.95</v>
          </cell>
          <cell r="H8">
            <v>0</v>
          </cell>
          <cell r="J8" t="str">
            <v>ok</v>
          </cell>
          <cell r="K8" t="str">
            <v>Reveriza, Emmar T.</v>
          </cell>
          <cell r="L8">
            <v>24932.95</v>
          </cell>
          <cell r="M8">
            <v>1300</v>
          </cell>
          <cell r="N8">
            <v>900</v>
          </cell>
          <cell r="O8">
            <v>0</v>
          </cell>
          <cell r="P8">
            <v>100</v>
          </cell>
          <cell r="Q8">
            <v>0</v>
          </cell>
          <cell r="R8">
            <v>0</v>
          </cell>
          <cell r="S8">
            <v>300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80000</v>
          </cell>
          <cell r="Y8">
            <v>51816.480000000003</v>
          </cell>
          <cell r="Z8">
            <v>51816.480000000003</v>
          </cell>
          <cell r="AA8">
            <v>103632.95</v>
          </cell>
          <cell r="AB8">
            <v>103632.95454545454</v>
          </cell>
          <cell r="AC8">
            <v>-4.5454545470420271E-3</v>
          </cell>
          <cell r="AE8" t="str">
            <v>ok</v>
          </cell>
          <cell r="AF8" t="str">
            <v>Reveriza, Emmar T.</v>
          </cell>
          <cell r="AG8">
            <v>20000</v>
          </cell>
          <cell r="AH8">
            <v>3000</v>
          </cell>
          <cell r="AI8">
            <v>1932.9545454545457</v>
          </cell>
          <cell r="AN8">
            <v>24932.95</v>
          </cell>
          <cell r="AP8" t="str">
            <v>ok</v>
          </cell>
          <cell r="AQ8" t="str">
            <v>Reveriza, Emmar T.</v>
          </cell>
          <cell r="AS8">
            <v>900</v>
          </cell>
          <cell r="AT8">
            <v>0</v>
          </cell>
          <cell r="AU8">
            <v>100</v>
          </cell>
          <cell r="AV8">
            <v>0</v>
          </cell>
          <cell r="AW8">
            <v>0</v>
          </cell>
          <cell r="AX8">
            <v>300</v>
          </cell>
          <cell r="AY8">
            <v>0</v>
          </cell>
        </row>
        <row r="9">
          <cell r="A9" t="str">
            <v>Gulmatico, Joyce A.</v>
          </cell>
          <cell r="B9" t="str">
            <v>ok</v>
          </cell>
          <cell r="C9" t="str">
            <v>Gulmatico, Joyce A.</v>
          </cell>
          <cell r="D9">
            <v>9249537796</v>
          </cell>
          <cell r="E9">
            <v>36816.480000000003</v>
          </cell>
          <cell r="F9">
            <v>36816.47</v>
          </cell>
          <cell r="G9">
            <v>73632.95</v>
          </cell>
          <cell r="H9">
            <v>0</v>
          </cell>
          <cell r="J9" t="str">
            <v>ok</v>
          </cell>
          <cell r="K9" t="str">
            <v>Gulmatico, Joyce A.</v>
          </cell>
          <cell r="L9">
            <v>24932.95</v>
          </cell>
          <cell r="M9">
            <v>1300</v>
          </cell>
          <cell r="N9">
            <v>900</v>
          </cell>
          <cell r="O9">
            <v>0</v>
          </cell>
          <cell r="P9">
            <v>100</v>
          </cell>
          <cell r="Q9">
            <v>0</v>
          </cell>
          <cell r="R9">
            <v>0</v>
          </cell>
          <cell r="S9">
            <v>300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50000</v>
          </cell>
          <cell r="Y9">
            <v>36816.480000000003</v>
          </cell>
          <cell r="Z9">
            <v>36816.480000000003</v>
          </cell>
          <cell r="AA9">
            <v>73632.95</v>
          </cell>
          <cell r="AB9">
            <v>73632.954545454544</v>
          </cell>
          <cell r="AC9">
            <v>-4.5454545470420271E-3</v>
          </cell>
          <cell r="AE9" t="str">
            <v>ok</v>
          </cell>
          <cell r="AF9" t="str">
            <v>Gulmatico, Joyce A.</v>
          </cell>
          <cell r="AG9">
            <v>20000</v>
          </cell>
          <cell r="AH9">
            <v>3000</v>
          </cell>
          <cell r="AI9">
            <v>1932.9545454545457</v>
          </cell>
          <cell r="AN9">
            <v>24932.95</v>
          </cell>
          <cell r="AP9" t="str">
            <v>ok</v>
          </cell>
          <cell r="AQ9" t="str">
            <v>Gulmatico, Joyce A.</v>
          </cell>
          <cell r="AS9">
            <v>900</v>
          </cell>
          <cell r="AT9">
            <v>0</v>
          </cell>
          <cell r="AU9">
            <v>100</v>
          </cell>
          <cell r="AV9">
            <v>0</v>
          </cell>
          <cell r="AW9">
            <v>0</v>
          </cell>
          <cell r="AX9">
            <v>300</v>
          </cell>
          <cell r="AY9">
            <v>0</v>
          </cell>
        </row>
        <row r="10">
          <cell r="A10" t="str">
            <v>Manuel, Maria Fe M.</v>
          </cell>
          <cell r="B10" t="str">
            <v>ok</v>
          </cell>
          <cell r="C10" t="str">
            <v>Manuel, Maria Fe M.</v>
          </cell>
          <cell r="D10">
            <v>9249537788</v>
          </cell>
          <cell r="E10">
            <v>36816.480000000003</v>
          </cell>
          <cell r="F10">
            <v>36816.47</v>
          </cell>
          <cell r="G10">
            <v>73632.95</v>
          </cell>
          <cell r="H10">
            <v>0</v>
          </cell>
          <cell r="J10" t="str">
            <v>ok</v>
          </cell>
          <cell r="K10" t="str">
            <v>Manuel, Maria Fe M.</v>
          </cell>
          <cell r="L10">
            <v>24932.95</v>
          </cell>
          <cell r="M10">
            <v>1300</v>
          </cell>
          <cell r="N10">
            <v>900</v>
          </cell>
          <cell r="O10">
            <v>0</v>
          </cell>
          <cell r="P10">
            <v>100</v>
          </cell>
          <cell r="Q10">
            <v>0</v>
          </cell>
          <cell r="R10">
            <v>0</v>
          </cell>
          <cell r="S10">
            <v>300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50000</v>
          </cell>
          <cell r="Y10">
            <v>36816.480000000003</v>
          </cell>
          <cell r="Z10">
            <v>36816.480000000003</v>
          </cell>
          <cell r="AA10">
            <v>73632.95</v>
          </cell>
          <cell r="AB10">
            <v>73632.954545454544</v>
          </cell>
          <cell r="AC10">
            <v>-4.5454545470420271E-3</v>
          </cell>
          <cell r="AE10" t="str">
            <v>ok</v>
          </cell>
          <cell r="AF10" t="str">
            <v>Manuel, Maria Fe M.</v>
          </cell>
          <cell r="AG10">
            <v>20000</v>
          </cell>
          <cell r="AH10">
            <v>3000</v>
          </cell>
          <cell r="AI10">
            <v>1932.9545454545457</v>
          </cell>
          <cell r="AN10">
            <v>24932.95</v>
          </cell>
          <cell r="AP10" t="str">
            <v>ok</v>
          </cell>
          <cell r="AQ10" t="str">
            <v>Manuel, Maria Fe M.</v>
          </cell>
          <cell r="AS10">
            <v>900</v>
          </cell>
          <cell r="AT10">
            <v>0</v>
          </cell>
          <cell r="AU10">
            <v>100</v>
          </cell>
          <cell r="AV10">
            <v>0</v>
          </cell>
          <cell r="AW10">
            <v>0</v>
          </cell>
          <cell r="AX10">
            <v>300</v>
          </cell>
          <cell r="AY10">
            <v>0</v>
          </cell>
        </row>
        <row r="11">
          <cell r="A11" t="str">
            <v>Salveron, John V.</v>
          </cell>
          <cell r="B11" t="str">
            <v>ok</v>
          </cell>
          <cell r="C11" t="str">
            <v>Salveron, John V.</v>
          </cell>
          <cell r="D11">
            <v>9249537702</v>
          </cell>
          <cell r="E11">
            <v>16384.66</v>
          </cell>
          <cell r="F11">
            <v>16384.650000000001</v>
          </cell>
          <cell r="G11">
            <v>32769.31</v>
          </cell>
          <cell r="H11">
            <v>0</v>
          </cell>
          <cell r="J11" t="str">
            <v>ok</v>
          </cell>
          <cell r="K11" t="str">
            <v>Salveron, John V.</v>
          </cell>
          <cell r="L11">
            <v>26069.31</v>
          </cell>
          <cell r="M11">
            <v>1300</v>
          </cell>
          <cell r="N11">
            <v>900</v>
          </cell>
          <cell r="O11">
            <v>0</v>
          </cell>
          <cell r="P11">
            <v>100</v>
          </cell>
          <cell r="Q11">
            <v>0</v>
          </cell>
          <cell r="R11">
            <v>0</v>
          </cell>
          <cell r="S11">
            <v>300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8000</v>
          </cell>
          <cell r="Y11">
            <v>16384.66</v>
          </cell>
          <cell r="Z11">
            <v>16384.66</v>
          </cell>
          <cell r="AA11">
            <v>32769.31</v>
          </cell>
          <cell r="AB11">
            <v>32769.314545454545</v>
          </cell>
          <cell r="AC11">
            <v>-4.5454545470420271E-3</v>
          </cell>
          <cell r="AE11" t="str">
            <v>ok</v>
          </cell>
          <cell r="AF11" t="str">
            <v>Salveron, John V.</v>
          </cell>
          <cell r="AG11">
            <v>20000</v>
          </cell>
          <cell r="AH11">
            <v>3000</v>
          </cell>
          <cell r="AI11">
            <v>1932.9545454545457</v>
          </cell>
          <cell r="AJ11">
            <v>1136.3599999999999</v>
          </cell>
          <cell r="AN11">
            <v>26069.31</v>
          </cell>
          <cell r="AP11" t="str">
            <v>ok</v>
          </cell>
          <cell r="AQ11" t="str">
            <v>Salveron, John V.</v>
          </cell>
          <cell r="AS11">
            <v>900</v>
          </cell>
          <cell r="AT11">
            <v>0</v>
          </cell>
          <cell r="AU11">
            <v>100</v>
          </cell>
          <cell r="AV11">
            <v>0</v>
          </cell>
          <cell r="AW11">
            <v>0</v>
          </cell>
          <cell r="AX11">
            <v>300</v>
          </cell>
          <cell r="AY11">
            <v>0</v>
          </cell>
        </row>
        <row r="12">
          <cell r="A12" t="str">
            <v>Almorin, Mary Flor S.</v>
          </cell>
          <cell r="B12" t="str">
            <v>ok</v>
          </cell>
          <cell r="C12" t="str">
            <v>Almorin, Mary Flor S.</v>
          </cell>
          <cell r="D12">
            <v>9249537672</v>
          </cell>
          <cell r="E12">
            <v>11322.16</v>
          </cell>
          <cell r="F12">
            <v>11322.15</v>
          </cell>
          <cell r="G12">
            <v>22644.31</v>
          </cell>
          <cell r="H12">
            <v>0</v>
          </cell>
          <cell r="J12" t="str">
            <v>ok</v>
          </cell>
          <cell r="K12" t="str">
            <v>Almorin, Mary Flor S.</v>
          </cell>
          <cell r="L12">
            <v>24932.95</v>
          </cell>
          <cell r="M12">
            <v>2288.64</v>
          </cell>
          <cell r="N12">
            <v>900</v>
          </cell>
          <cell r="O12">
            <v>0</v>
          </cell>
          <cell r="P12">
            <v>100</v>
          </cell>
          <cell r="Q12">
            <v>0</v>
          </cell>
          <cell r="R12">
            <v>0</v>
          </cell>
          <cell r="S12">
            <v>300</v>
          </cell>
          <cell r="T12">
            <v>0</v>
          </cell>
          <cell r="U12">
            <v>0</v>
          </cell>
          <cell r="V12">
            <v>988.64</v>
          </cell>
          <cell r="W12">
            <v>0</v>
          </cell>
          <cell r="X12">
            <v>0</v>
          </cell>
          <cell r="Y12">
            <v>11322.16</v>
          </cell>
          <cell r="Z12">
            <v>11322.15</v>
          </cell>
          <cell r="AA12">
            <v>22644.31</v>
          </cell>
          <cell r="AB12">
            <v>22644.314545454545</v>
          </cell>
          <cell r="AC12">
            <v>-4.5454545434040483E-3</v>
          </cell>
          <cell r="AE12" t="str">
            <v>ok</v>
          </cell>
          <cell r="AF12" t="str">
            <v>Almorin, Mary Flor S.</v>
          </cell>
          <cell r="AG12">
            <v>20000</v>
          </cell>
          <cell r="AH12">
            <v>3000</v>
          </cell>
          <cell r="AI12">
            <v>1932.9545454545457</v>
          </cell>
          <cell r="AN12">
            <v>24932.95</v>
          </cell>
          <cell r="AP12" t="str">
            <v>ok</v>
          </cell>
          <cell r="AQ12" t="str">
            <v>Almorin, Mary Flor S.</v>
          </cell>
          <cell r="AS12">
            <v>900</v>
          </cell>
          <cell r="AT12">
            <v>0</v>
          </cell>
          <cell r="AU12">
            <v>100</v>
          </cell>
          <cell r="AV12">
            <v>0</v>
          </cell>
          <cell r="AW12">
            <v>0</v>
          </cell>
          <cell r="AX12">
            <v>300</v>
          </cell>
          <cell r="AY12">
            <v>0</v>
          </cell>
        </row>
        <row r="13">
          <cell r="A13" t="str">
            <v>Mateo Jr., Romeo A.</v>
          </cell>
          <cell r="B13" t="str">
            <v>ok</v>
          </cell>
          <cell r="C13" t="str">
            <v>Mateo Jr., Romeo A.</v>
          </cell>
          <cell r="D13">
            <v>9249537877</v>
          </cell>
          <cell r="E13">
            <v>19316.48</v>
          </cell>
          <cell r="F13">
            <v>19316.47</v>
          </cell>
          <cell r="G13">
            <v>38632.949999999997</v>
          </cell>
          <cell r="H13">
            <v>0</v>
          </cell>
          <cell r="J13" t="str">
            <v>ok</v>
          </cell>
          <cell r="K13" t="str">
            <v>Mateo Jr., Romeo A.</v>
          </cell>
          <cell r="L13">
            <v>24932.95</v>
          </cell>
          <cell r="M13">
            <v>1300</v>
          </cell>
          <cell r="N13">
            <v>900</v>
          </cell>
          <cell r="O13">
            <v>0</v>
          </cell>
          <cell r="P13">
            <v>100</v>
          </cell>
          <cell r="Q13">
            <v>0</v>
          </cell>
          <cell r="R13">
            <v>0</v>
          </cell>
          <cell r="S13">
            <v>300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15000</v>
          </cell>
          <cell r="Y13">
            <v>19316.48</v>
          </cell>
          <cell r="Z13">
            <v>19316.48</v>
          </cell>
          <cell r="AA13">
            <v>38632.949999999997</v>
          </cell>
          <cell r="AB13">
            <v>38632.954545454544</v>
          </cell>
          <cell r="AC13">
            <v>-4.5454545470420271E-3</v>
          </cell>
          <cell r="AE13" t="str">
            <v>ok</v>
          </cell>
          <cell r="AF13" t="str">
            <v>Mateo Jr., Romeo A.</v>
          </cell>
          <cell r="AG13">
            <v>20000</v>
          </cell>
          <cell r="AH13">
            <v>3000</v>
          </cell>
          <cell r="AI13">
            <v>1932.9545454545457</v>
          </cell>
          <cell r="AN13">
            <v>24932.95</v>
          </cell>
          <cell r="AP13" t="str">
            <v>ok</v>
          </cell>
          <cell r="AQ13" t="str">
            <v>Mateo Jr., Romeo A.</v>
          </cell>
          <cell r="AS13">
            <v>900</v>
          </cell>
          <cell r="AT13">
            <v>0</v>
          </cell>
          <cell r="AU13">
            <v>100</v>
          </cell>
          <cell r="AV13">
            <v>0</v>
          </cell>
          <cell r="AW13">
            <v>0</v>
          </cell>
          <cell r="AX13">
            <v>300</v>
          </cell>
          <cell r="AY13">
            <v>0</v>
          </cell>
        </row>
        <row r="14">
          <cell r="A14" t="str">
            <v>Villaruz, Roger C.</v>
          </cell>
          <cell r="B14" t="str">
            <v>ok</v>
          </cell>
          <cell r="C14" t="str">
            <v>Villaruz, Roger C.</v>
          </cell>
          <cell r="D14">
            <v>9249537729</v>
          </cell>
          <cell r="E14">
            <v>19316.48</v>
          </cell>
          <cell r="F14">
            <v>19316.47</v>
          </cell>
          <cell r="G14">
            <v>38632.949999999997</v>
          </cell>
          <cell r="H14">
            <v>0</v>
          </cell>
          <cell r="J14" t="str">
            <v>ok</v>
          </cell>
          <cell r="K14" t="str">
            <v>Villaruz, Roger C.</v>
          </cell>
          <cell r="L14">
            <v>24932.95</v>
          </cell>
          <cell r="M14">
            <v>1300</v>
          </cell>
          <cell r="N14">
            <v>900</v>
          </cell>
          <cell r="O14">
            <v>0</v>
          </cell>
          <cell r="P14">
            <v>100</v>
          </cell>
          <cell r="Q14">
            <v>0</v>
          </cell>
          <cell r="R14">
            <v>0</v>
          </cell>
          <cell r="S14">
            <v>300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15000</v>
          </cell>
          <cell r="Y14">
            <v>19316.48</v>
          </cell>
          <cell r="Z14">
            <v>19316.48</v>
          </cell>
          <cell r="AA14">
            <v>38632.949999999997</v>
          </cell>
          <cell r="AB14">
            <v>38632.954545454544</v>
          </cell>
          <cell r="AC14">
            <v>-4.5454545470420271E-3</v>
          </cell>
          <cell r="AE14" t="str">
            <v>ok</v>
          </cell>
          <cell r="AF14" t="str">
            <v>Villaruz, Roger C.</v>
          </cell>
          <cell r="AG14">
            <v>20000</v>
          </cell>
          <cell r="AH14">
            <v>3000</v>
          </cell>
          <cell r="AI14">
            <v>1932.9545454545457</v>
          </cell>
          <cell r="AN14">
            <v>24932.95</v>
          </cell>
          <cell r="AP14" t="str">
            <v>ok</v>
          </cell>
          <cell r="AQ14" t="str">
            <v>Villaruz, Roger C.</v>
          </cell>
          <cell r="AS14">
            <v>900</v>
          </cell>
          <cell r="AT14">
            <v>0</v>
          </cell>
          <cell r="AU14">
            <v>100</v>
          </cell>
          <cell r="AV14">
            <v>0</v>
          </cell>
          <cell r="AW14">
            <v>0</v>
          </cell>
          <cell r="AX14">
            <v>300</v>
          </cell>
          <cell r="AY14">
            <v>0</v>
          </cell>
        </row>
        <row r="15">
          <cell r="A15" t="str">
            <v>Alinsangan, Mary Hannah</v>
          </cell>
          <cell r="B15" t="str">
            <v>ok</v>
          </cell>
          <cell r="C15" t="str">
            <v>Alinsangan, Mary Hannah</v>
          </cell>
          <cell r="D15">
            <v>9249539462</v>
          </cell>
          <cell r="E15">
            <v>10823.72</v>
          </cell>
          <cell r="F15">
            <v>10823.72</v>
          </cell>
          <cell r="G15">
            <v>21647.439999999999</v>
          </cell>
          <cell r="H15">
            <v>0</v>
          </cell>
          <cell r="J15" t="str">
            <v>ok</v>
          </cell>
          <cell r="K15" t="str">
            <v>Alinsangan, Mary Hannah</v>
          </cell>
          <cell r="L15">
            <v>23607.78</v>
          </cell>
          <cell r="M15">
            <v>1960.3400000000001</v>
          </cell>
          <cell r="N15">
            <v>765</v>
          </cell>
          <cell r="O15">
            <v>0</v>
          </cell>
          <cell r="P15">
            <v>100</v>
          </cell>
          <cell r="Q15">
            <v>0</v>
          </cell>
          <cell r="R15">
            <v>0</v>
          </cell>
          <cell r="S15">
            <v>255</v>
          </cell>
          <cell r="T15">
            <v>0</v>
          </cell>
          <cell r="U15">
            <v>0</v>
          </cell>
          <cell r="V15">
            <v>840.34</v>
          </cell>
          <cell r="W15">
            <v>0</v>
          </cell>
          <cell r="X15">
            <v>0</v>
          </cell>
          <cell r="Y15">
            <v>10823.72</v>
          </cell>
          <cell r="Z15">
            <v>10823.72</v>
          </cell>
          <cell r="AA15">
            <v>21647.439999999999</v>
          </cell>
          <cell r="AB15">
            <v>21647.441363636364</v>
          </cell>
          <cell r="AC15">
            <v>-1.3636363655677997E-3</v>
          </cell>
          <cell r="AE15" t="str">
            <v>ok</v>
          </cell>
          <cell r="AF15" t="str">
            <v>Alinsangan, Mary Hannah</v>
          </cell>
          <cell r="AG15">
            <v>17000</v>
          </cell>
          <cell r="AH15">
            <v>2550</v>
          </cell>
          <cell r="AI15">
            <v>1643.011363636364</v>
          </cell>
          <cell r="AJ15">
            <v>2414.77</v>
          </cell>
          <cell r="AN15">
            <v>23607.78</v>
          </cell>
          <cell r="AP15" t="str">
            <v>ok</v>
          </cell>
          <cell r="AQ15" t="str">
            <v>Alinsangan, Mary Hannah</v>
          </cell>
          <cell r="AS15">
            <v>765</v>
          </cell>
          <cell r="AT15">
            <v>0</v>
          </cell>
          <cell r="AU15">
            <v>100</v>
          </cell>
          <cell r="AV15">
            <v>0</v>
          </cell>
          <cell r="AW15">
            <v>0</v>
          </cell>
          <cell r="AX15">
            <v>255</v>
          </cell>
          <cell r="AY15">
            <v>0</v>
          </cell>
        </row>
        <row r="16">
          <cell r="A16" t="str">
            <v>Guinanao, Jelyn</v>
          </cell>
          <cell r="B16" t="str">
            <v>ok</v>
          </cell>
          <cell r="C16" t="str">
            <v>Guinanao, Jelyn</v>
          </cell>
          <cell r="D16">
            <v>9249541513</v>
          </cell>
          <cell r="E16">
            <v>14878.98</v>
          </cell>
          <cell r="F16">
            <v>14878.97</v>
          </cell>
          <cell r="G16">
            <v>29757.95</v>
          </cell>
          <cell r="H16">
            <v>0</v>
          </cell>
          <cell r="J16" t="str">
            <v>ok</v>
          </cell>
          <cell r="K16" t="str">
            <v>Guinanao, Jelyn</v>
          </cell>
          <cell r="L16">
            <v>28057.95</v>
          </cell>
          <cell r="M16">
            <v>1300</v>
          </cell>
          <cell r="N16">
            <v>900</v>
          </cell>
          <cell r="O16">
            <v>0</v>
          </cell>
          <cell r="P16">
            <v>100</v>
          </cell>
          <cell r="Q16">
            <v>0</v>
          </cell>
          <cell r="R16">
            <v>0</v>
          </cell>
          <cell r="S16">
            <v>300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3000</v>
          </cell>
          <cell r="Y16">
            <v>14878.98</v>
          </cell>
          <cell r="Z16">
            <v>14878.98</v>
          </cell>
          <cell r="AA16">
            <v>29757.95</v>
          </cell>
          <cell r="AB16">
            <v>29757.954545454544</v>
          </cell>
          <cell r="AC16">
            <v>-4.5454545434040483E-3</v>
          </cell>
          <cell r="AE16" t="str">
            <v>ok</v>
          </cell>
          <cell r="AF16" t="str">
            <v>Guinanao, Jelyn</v>
          </cell>
          <cell r="AG16">
            <v>20000</v>
          </cell>
          <cell r="AH16">
            <v>3000</v>
          </cell>
          <cell r="AI16">
            <v>1932.9545454545457</v>
          </cell>
          <cell r="AJ16">
            <v>3125</v>
          </cell>
          <cell r="AN16">
            <v>28057.95</v>
          </cell>
          <cell r="AP16" t="str">
            <v>ok</v>
          </cell>
          <cell r="AQ16" t="str">
            <v>Guinanao, Jelyn</v>
          </cell>
          <cell r="AR16">
            <v>0</v>
          </cell>
          <cell r="AS16">
            <v>900</v>
          </cell>
          <cell r="AU16">
            <v>100</v>
          </cell>
          <cell r="AX16">
            <v>300</v>
          </cell>
        </row>
        <row r="17">
          <cell r="A17" t="str">
            <v xml:space="preserve">San Miguel, Genesse </v>
          </cell>
          <cell r="B17" t="str">
            <v>ok</v>
          </cell>
          <cell r="C17" t="str">
            <v xml:space="preserve">San Miguel, Genesse </v>
          </cell>
          <cell r="D17">
            <v>9249546051</v>
          </cell>
          <cell r="E17">
            <v>10898.87</v>
          </cell>
          <cell r="F17">
            <v>10898.86</v>
          </cell>
          <cell r="G17">
            <v>21797.73</v>
          </cell>
          <cell r="H17">
            <v>0</v>
          </cell>
          <cell r="J17" t="str">
            <v>ok</v>
          </cell>
          <cell r="K17" t="str">
            <v xml:space="preserve">San Miguel, Genesse </v>
          </cell>
          <cell r="L17">
            <v>25075</v>
          </cell>
          <cell r="M17">
            <v>3277.27</v>
          </cell>
          <cell r="N17">
            <v>900</v>
          </cell>
          <cell r="O17">
            <v>0</v>
          </cell>
          <cell r="P17">
            <v>100</v>
          </cell>
          <cell r="Q17">
            <v>0</v>
          </cell>
          <cell r="R17">
            <v>0</v>
          </cell>
          <cell r="S17">
            <v>300</v>
          </cell>
          <cell r="T17">
            <v>0</v>
          </cell>
          <cell r="U17">
            <v>0</v>
          </cell>
          <cell r="V17">
            <v>1977.27</v>
          </cell>
          <cell r="W17">
            <v>0</v>
          </cell>
          <cell r="X17">
            <v>0</v>
          </cell>
          <cell r="Y17">
            <v>10898.87</v>
          </cell>
          <cell r="Z17">
            <v>10898.87</v>
          </cell>
          <cell r="AA17">
            <v>21797.73</v>
          </cell>
          <cell r="AB17">
            <v>21797.734545454543</v>
          </cell>
          <cell r="AC17">
            <v>-4.5454545434040483E-3</v>
          </cell>
          <cell r="AE17" t="str">
            <v>ok</v>
          </cell>
          <cell r="AF17" t="str">
            <v xml:space="preserve">San Miguel, Genesse </v>
          </cell>
          <cell r="AG17">
            <v>20000</v>
          </cell>
          <cell r="AH17">
            <v>3000</v>
          </cell>
          <cell r="AI17">
            <v>1932.9545454545457</v>
          </cell>
          <cell r="AJ17">
            <v>142.05000000000001</v>
          </cell>
          <cell r="AN17">
            <v>25075</v>
          </cell>
          <cell r="AP17" t="str">
            <v>ok</v>
          </cell>
          <cell r="AQ17" t="str">
            <v xml:space="preserve">San Miguel, Genesse </v>
          </cell>
          <cell r="AR17">
            <v>0</v>
          </cell>
          <cell r="AS17">
            <v>900</v>
          </cell>
          <cell r="AU17">
            <v>100</v>
          </cell>
          <cell r="AX17">
            <v>300</v>
          </cell>
        </row>
        <row r="18">
          <cell r="A18" t="str">
            <v>Colonia, Shiela</v>
          </cell>
          <cell r="B18" t="str">
            <v>ok</v>
          </cell>
          <cell r="C18" t="str">
            <v>Colonia, Shiela</v>
          </cell>
          <cell r="D18">
            <v>9249546043</v>
          </cell>
          <cell r="E18">
            <v>14387.5</v>
          </cell>
          <cell r="F18">
            <v>14387.5</v>
          </cell>
          <cell r="G18">
            <v>28775</v>
          </cell>
          <cell r="H18">
            <v>0</v>
          </cell>
          <cell r="J18" t="str">
            <v>ok</v>
          </cell>
          <cell r="K18" t="str">
            <v>Colonia, Shiela</v>
          </cell>
          <cell r="L18">
            <v>25075</v>
          </cell>
          <cell r="M18">
            <v>1300</v>
          </cell>
          <cell r="N18">
            <v>900</v>
          </cell>
          <cell r="O18">
            <v>0</v>
          </cell>
          <cell r="P18">
            <v>100</v>
          </cell>
          <cell r="Q18">
            <v>0</v>
          </cell>
          <cell r="R18">
            <v>0</v>
          </cell>
          <cell r="S18">
            <v>300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5000</v>
          </cell>
          <cell r="Y18">
            <v>14387.5</v>
          </cell>
          <cell r="Z18">
            <v>14387.5</v>
          </cell>
          <cell r="AA18">
            <v>28775</v>
          </cell>
          <cell r="AB18">
            <v>28775.004545454543</v>
          </cell>
          <cell r="AC18">
            <v>-4.5454545434040483E-3</v>
          </cell>
          <cell r="AE18" t="str">
            <v>ok</v>
          </cell>
          <cell r="AF18" t="str">
            <v>Colonia, Shiela</v>
          </cell>
          <cell r="AG18">
            <v>20000</v>
          </cell>
          <cell r="AH18">
            <v>3000</v>
          </cell>
          <cell r="AI18">
            <v>1932.9545454545457</v>
          </cell>
          <cell r="AJ18">
            <v>142.05000000000001</v>
          </cell>
          <cell r="AN18">
            <v>25075</v>
          </cell>
          <cell r="AP18" t="str">
            <v>ok</v>
          </cell>
          <cell r="AQ18" t="str">
            <v>Colonia, Shiela</v>
          </cell>
          <cell r="AR18">
            <v>0</v>
          </cell>
          <cell r="AS18">
            <v>900</v>
          </cell>
          <cell r="AU18">
            <v>100</v>
          </cell>
          <cell r="AX18">
            <v>300</v>
          </cell>
        </row>
        <row r="19">
          <cell r="A19" t="str">
            <v>Buño, Ernesto Jr</v>
          </cell>
          <cell r="B19" t="str">
            <v>ok</v>
          </cell>
          <cell r="C19" t="str">
            <v>Buño, Ernesto Jr</v>
          </cell>
          <cell r="D19">
            <v>9249526662</v>
          </cell>
          <cell r="E19">
            <v>24316.47</v>
          </cell>
          <cell r="F19">
            <v>24316.469999999998</v>
          </cell>
          <cell r="G19">
            <v>48632.94</v>
          </cell>
          <cell r="H19">
            <v>0</v>
          </cell>
          <cell r="J19" t="str">
            <v>ok</v>
          </cell>
          <cell r="K19" t="str">
            <v>Buño, Ernesto Jr</v>
          </cell>
          <cell r="L19">
            <v>24932.95</v>
          </cell>
          <cell r="M19">
            <v>1300</v>
          </cell>
          <cell r="N19">
            <v>900</v>
          </cell>
          <cell r="O19">
            <v>0</v>
          </cell>
          <cell r="P19">
            <v>100</v>
          </cell>
          <cell r="Q19">
            <v>0</v>
          </cell>
          <cell r="R19">
            <v>0</v>
          </cell>
          <cell r="S19">
            <v>300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25000</v>
          </cell>
          <cell r="Y19">
            <v>24316.47</v>
          </cell>
          <cell r="Z19">
            <v>24316.460000000003</v>
          </cell>
          <cell r="AA19">
            <v>48632.939999999995</v>
          </cell>
          <cell r="AB19">
            <v>48632.944545454542</v>
          </cell>
          <cell r="AC19">
            <v>-4.5454545470420271E-3</v>
          </cell>
          <cell r="AE19" t="str">
            <v>ok</v>
          </cell>
          <cell r="AF19" t="str">
            <v>Buño, Ernesto Jr</v>
          </cell>
          <cell r="AG19">
            <v>20000</v>
          </cell>
          <cell r="AH19">
            <v>3000</v>
          </cell>
          <cell r="AI19">
            <v>1932.9545454545457</v>
          </cell>
          <cell r="AN19">
            <v>24932.95</v>
          </cell>
          <cell r="AP19" t="str">
            <v>ok</v>
          </cell>
          <cell r="AQ19" t="str">
            <v>Buño, Ernesto Jr</v>
          </cell>
          <cell r="AR19">
            <v>0</v>
          </cell>
          <cell r="AS19">
            <v>900</v>
          </cell>
          <cell r="AU19">
            <v>100</v>
          </cell>
          <cell r="AX19">
            <v>300</v>
          </cell>
        </row>
        <row r="20">
          <cell r="A20" t="str">
            <v>Aquit, April Rose</v>
          </cell>
          <cell r="B20" t="str">
            <v>ok</v>
          </cell>
          <cell r="C20" t="str">
            <v>Aquit, April Rose</v>
          </cell>
          <cell r="D20">
            <v>9249546108</v>
          </cell>
          <cell r="E20">
            <v>21816.47</v>
          </cell>
          <cell r="F20">
            <v>21816.469999999998</v>
          </cell>
          <cell r="G20">
            <v>43632.94</v>
          </cell>
          <cell r="H20">
            <v>0</v>
          </cell>
          <cell r="J20" t="str">
            <v>ok</v>
          </cell>
          <cell r="K20" t="str">
            <v>Aquit, April Rose</v>
          </cell>
          <cell r="L20">
            <v>24932.95</v>
          </cell>
          <cell r="M20">
            <v>1300</v>
          </cell>
          <cell r="N20">
            <v>900</v>
          </cell>
          <cell r="O20">
            <v>0</v>
          </cell>
          <cell r="P20">
            <v>100</v>
          </cell>
          <cell r="Q20">
            <v>0</v>
          </cell>
          <cell r="R20">
            <v>0</v>
          </cell>
          <cell r="S20">
            <v>300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20000</v>
          </cell>
          <cell r="Y20">
            <v>21816.47</v>
          </cell>
          <cell r="Z20">
            <v>21816.460000000003</v>
          </cell>
          <cell r="AA20">
            <v>43632.939999999995</v>
          </cell>
          <cell r="AB20">
            <v>43632.944545454542</v>
          </cell>
          <cell r="AC20">
            <v>-4.5454545470420271E-3</v>
          </cell>
          <cell r="AE20" t="str">
            <v>ok</v>
          </cell>
          <cell r="AF20" t="str">
            <v>Aquit, April Rose</v>
          </cell>
          <cell r="AG20">
            <v>20000</v>
          </cell>
          <cell r="AH20">
            <v>3000</v>
          </cell>
          <cell r="AI20">
            <v>1932.9545454545457</v>
          </cell>
          <cell r="AN20">
            <v>24932.95</v>
          </cell>
          <cell r="AP20" t="str">
            <v>ok</v>
          </cell>
          <cell r="AQ20" t="str">
            <v>Aquit, April Rose</v>
          </cell>
          <cell r="AR20">
            <v>0</v>
          </cell>
          <cell r="AS20">
            <v>900</v>
          </cell>
          <cell r="AU20">
            <v>100</v>
          </cell>
          <cell r="AX20">
            <v>300</v>
          </cell>
        </row>
        <row r="21">
          <cell r="A21" t="str">
            <v>Panganiban, Janine</v>
          </cell>
          <cell r="B21" t="str">
            <v>ok</v>
          </cell>
          <cell r="C21" t="str">
            <v>Panganiban, Janine</v>
          </cell>
          <cell r="D21">
            <v>9249547155</v>
          </cell>
          <cell r="E21">
            <v>16998.29</v>
          </cell>
          <cell r="F21">
            <v>16998.289999999997</v>
          </cell>
          <cell r="G21">
            <v>33996.58</v>
          </cell>
          <cell r="H21">
            <v>0</v>
          </cell>
          <cell r="J21" t="str">
            <v>ok</v>
          </cell>
          <cell r="K21" t="str">
            <v>Panganiban, Janine</v>
          </cell>
          <cell r="L21">
            <v>33296.589999999997</v>
          </cell>
          <cell r="M21">
            <v>1300</v>
          </cell>
          <cell r="N21">
            <v>900</v>
          </cell>
          <cell r="O21">
            <v>0</v>
          </cell>
          <cell r="P21">
            <v>100</v>
          </cell>
          <cell r="Q21">
            <v>0</v>
          </cell>
          <cell r="R21">
            <v>0</v>
          </cell>
          <cell r="S21">
            <v>300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2000</v>
          </cell>
          <cell r="Y21">
            <v>16998.29</v>
          </cell>
          <cell r="Z21">
            <v>16998.280000000002</v>
          </cell>
          <cell r="AA21">
            <v>33996.579999999994</v>
          </cell>
          <cell r="AB21">
            <v>33996.577272727271</v>
          </cell>
          <cell r="AC21">
            <v>2.7272727238596417E-3</v>
          </cell>
          <cell r="AE21" t="str">
            <v>ok</v>
          </cell>
          <cell r="AF21" t="str">
            <v>Panganiban, Janine</v>
          </cell>
          <cell r="AG21">
            <v>20000</v>
          </cell>
          <cell r="AH21">
            <v>2727.2727272727275</v>
          </cell>
          <cell r="AI21">
            <v>1932.9545454545457</v>
          </cell>
          <cell r="AK21">
            <v>8636.36</v>
          </cell>
          <cell r="AN21">
            <v>33296.589999999997</v>
          </cell>
          <cell r="AP21" t="str">
            <v>ok</v>
          </cell>
          <cell r="AQ21" t="str">
            <v>Panganiban, Janine</v>
          </cell>
          <cell r="AR21">
            <v>0</v>
          </cell>
          <cell r="AS21">
            <v>900</v>
          </cell>
          <cell r="AU21">
            <v>100</v>
          </cell>
          <cell r="AX21">
            <v>300</v>
          </cell>
        </row>
        <row r="22">
          <cell r="A22" t="str">
            <v>Divinagracia, Vince Angelo</v>
          </cell>
          <cell r="B22" t="str">
            <v>ok</v>
          </cell>
          <cell r="C22" t="str">
            <v>Divinagracia, Vince Angelo</v>
          </cell>
          <cell r="D22">
            <v>9249548585</v>
          </cell>
          <cell r="E22">
            <v>8747.58</v>
          </cell>
          <cell r="F22">
            <v>8747.58</v>
          </cell>
          <cell r="G22">
            <v>17495.16</v>
          </cell>
          <cell r="H22">
            <v>0</v>
          </cell>
          <cell r="J22" t="str">
            <v>ok</v>
          </cell>
          <cell r="K22" t="str">
            <v>Divinagracia, Vince Angelo</v>
          </cell>
          <cell r="L22">
            <v>18495.169999999998</v>
          </cell>
          <cell r="M22">
            <v>1000</v>
          </cell>
          <cell r="N22">
            <v>675</v>
          </cell>
          <cell r="O22">
            <v>0</v>
          </cell>
          <cell r="P22">
            <v>100</v>
          </cell>
          <cell r="Q22">
            <v>0</v>
          </cell>
          <cell r="R22">
            <v>0</v>
          </cell>
          <cell r="S22">
            <v>225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8747.58</v>
          </cell>
          <cell r="Z22">
            <v>8747.57</v>
          </cell>
          <cell r="AA22">
            <v>17495.16</v>
          </cell>
          <cell r="AB22">
            <v>17495.160454545454</v>
          </cell>
          <cell r="AC22">
            <v>-4.5454545397660695E-4</v>
          </cell>
          <cell r="AE22" t="str">
            <v>ok</v>
          </cell>
          <cell r="AF22" t="str">
            <v>Divinagracia, Vince Angelo</v>
          </cell>
          <cell r="AG22">
            <v>15000</v>
          </cell>
          <cell r="AH22">
            <v>2045.4545454545455</v>
          </cell>
          <cell r="AI22">
            <v>1449.7159090909092</v>
          </cell>
          <cell r="AN22">
            <v>18495.169999999998</v>
          </cell>
          <cell r="AP22" t="str">
            <v>ok</v>
          </cell>
          <cell r="AQ22" t="str">
            <v>Divinagracia, Vince Angelo</v>
          </cell>
          <cell r="AR22">
            <v>0</v>
          </cell>
          <cell r="AS22">
            <v>675</v>
          </cell>
          <cell r="AU22">
            <v>100</v>
          </cell>
          <cell r="AX22">
            <v>225</v>
          </cell>
        </row>
        <row r="23">
          <cell r="A23">
            <v>0</v>
          </cell>
          <cell r="C23">
            <v>0</v>
          </cell>
          <cell r="D23">
            <v>0</v>
          </cell>
          <cell r="K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AF23">
            <v>0</v>
          </cell>
          <cell r="AG23">
            <v>0</v>
          </cell>
          <cell r="AN23">
            <v>0</v>
          </cell>
          <cell r="AQ23">
            <v>0</v>
          </cell>
          <cell r="AR23">
            <v>0</v>
          </cell>
        </row>
        <row r="24">
          <cell r="A24">
            <v>0</v>
          </cell>
          <cell r="C24">
            <v>0</v>
          </cell>
          <cell r="D24">
            <v>0</v>
          </cell>
          <cell r="K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AF24">
            <v>0</v>
          </cell>
          <cell r="AG24">
            <v>0</v>
          </cell>
          <cell r="AN24">
            <v>0</v>
          </cell>
          <cell r="AQ24">
            <v>0</v>
          </cell>
          <cell r="AR24">
            <v>0</v>
          </cell>
        </row>
        <row r="25">
          <cell r="A25">
            <v>0</v>
          </cell>
          <cell r="C25">
            <v>0</v>
          </cell>
          <cell r="D25">
            <v>0</v>
          </cell>
          <cell r="K25">
            <v>0</v>
          </cell>
          <cell r="N25">
            <v>0</v>
          </cell>
          <cell r="P25">
            <v>0</v>
          </cell>
          <cell r="Q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AG25">
            <v>0</v>
          </cell>
          <cell r="AN25">
            <v>0</v>
          </cell>
          <cell r="AQ25">
            <v>0</v>
          </cell>
          <cell r="AR25">
            <v>0</v>
          </cell>
        </row>
        <row r="26">
          <cell r="A26" t="str">
            <v>TOTAL</v>
          </cell>
          <cell r="B26">
            <v>0</v>
          </cell>
          <cell r="C26" t="str">
            <v>TOTAL</v>
          </cell>
          <cell r="D26">
            <v>0</v>
          </cell>
          <cell r="E26">
            <v>353913.71000000008</v>
          </cell>
          <cell r="F26">
            <v>353913.59999999992</v>
          </cell>
          <cell r="G26">
            <v>707827.31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429006.3</v>
          </cell>
          <cell r="M26">
            <v>34178.949999999997</v>
          </cell>
          <cell r="N26">
            <v>14940</v>
          </cell>
          <cell r="O26">
            <v>0</v>
          </cell>
          <cell r="P26">
            <v>1700</v>
          </cell>
          <cell r="Q26">
            <v>0</v>
          </cell>
          <cell r="R26">
            <v>0</v>
          </cell>
          <cell r="S26">
            <v>4980</v>
          </cell>
          <cell r="T26">
            <v>0</v>
          </cell>
          <cell r="U26">
            <v>3809.52</v>
          </cell>
          <cell r="V26">
            <v>8749.43</v>
          </cell>
          <cell r="W26">
            <v>0</v>
          </cell>
          <cell r="X26">
            <v>313000</v>
          </cell>
          <cell r="Y26">
            <v>353913.71000000008</v>
          </cell>
          <cell r="Z26">
            <v>353913.65000000014</v>
          </cell>
          <cell r="AA26">
            <v>707827.30999999994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str">
            <v>TOTAL</v>
          </cell>
          <cell r="AG26">
            <v>332000</v>
          </cell>
          <cell r="AH26">
            <v>49322.727272727272</v>
          </cell>
          <cell r="AI26">
            <v>32087.045454545449</v>
          </cell>
          <cell r="AJ26">
            <v>6960.2300000000005</v>
          </cell>
          <cell r="AK26">
            <v>8636.36</v>
          </cell>
          <cell r="AL26">
            <v>0</v>
          </cell>
          <cell r="AM26">
            <v>0</v>
          </cell>
          <cell r="AN26">
            <v>429006.3</v>
          </cell>
          <cell r="AO26">
            <v>0</v>
          </cell>
          <cell r="AP26">
            <v>0</v>
          </cell>
          <cell r="AQ26" t="str">
            <v>TOTAL</v>
          </cell>
          <cell r="AR26">
            <v>0</v>
          </cell>
          <cell r="AS26">
            <v>14940</v>
          </cell>
          <cell r="AT26">
            <v>0</v>
          </cell>
          <cell r="AU26">
            <v>1700</v>
          </cell>
          <cell r="AV26">
            <v>0</v>
          </cell>
          <cell r="AW26">
            <v>0</v>
          </cell>
          <cell r="AX26">
            <v>4980</v>
          </cell>
          <cell r="AY26">
            <v>0</v>
          </cell>
        </row>
        <row r="27">
          <cell r="A27">
            <v>17</v>
          </cell>
          <cell r="B27">
            <v>0</v>
          </cell>
          <cell r="C27">
            <v>0</v>
          </cell>
          <cell r="D27">
            <v>0</v>
          </cell>
          <cell r="E27">
            <v>353913.71000000008</v>
          </cell>
          <cell r="F27">
            <v>353913.59999999998</v>
          </cell>
          <cell r="G27">
            <v>707827.31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429006.36272727262</v>
          </cell>
          <cell r="M27">
            <v>34178.949999999997</v>
          </cell>
          <cell r="N27">
            <v>14940</v>
          </cell>
          <cell r="O27">
            <v>0</v>
          </cell>
          <cell r="P27">
            <v>1700</v>
          </cell>
          <cell r="Q27">
            <v>0</v>
          </cell>
          <cell r="R27">
            <v>0</v>
          </cell>
          <cell r="S27">
            <v>4980</v>
          </cell>
          <cell r="T27">
            <v>0</v>
          </cell>
          <cell r="U27">
            <v>3809.52</v>
          </cell>
          <cell r="V27">
            <v>8749.43</v>
          </cell>
          <cell r="W27">
            <v>0</v>
          </cell>
          <cell r="X27">
            <v>313000</v>
          </cell>
          <cell r="Y27">
            <v>353913.71000000008</v>
          </cell>
          <cell r="Z27">
            <v>353913.59999999998</v>
          </cell>
          <cell r="AA27">
            <v>707827.37272727257</v>
          </cell>
          <cell r="AB27">
            <v>0</v>
          </cell>
          <cell r="AC27">
            <v>0</v>
          </cell>
          <cell r="AE27">
            <v>0</v>
          </cell>
          <cell r="AF27">
            <v>0</v>
          </cell>
          <cell r="AG27">
            <v>332000</v>
          </cell>
          <cell r="AH27">
            <v>49322.727272727272</v>
          </cell>
          <cell r="AI27">
            <v>32087.045454545449</v>
          </cell>
          <cell r="AJ27">
            <v>6960.2300000000005</v>
          </cell>
          <cell r="AK27">
            <v>8636.36</v>
          </cell>
          <cell r="AL27">
            <v>0</v>
          </cell>
          <cell r="AM27">
            <v>0</v>
          </cell>
          <cell r="AN27">
            <v>429006.36272727262</v>
          </cell>
          <cell r="AP27">
            <v>0</v>
          </cell>
          <cell r="AQ27">
            <v>0</v>
          </cell>
          <cell r="AR27">
            <v>0</v>
          </cell>
          <cell r="AS27">
            <v>14940</v>
          </cell>
          <cell r="AT27">
            <v>0</v>
          </cell>
          <cell r="AU27">
            <v>1700</v>
          </cell>
          <cell r="AV27">
            <v>0</v>
          </cell>
          <cell r="AW27">
            <v>0</v>
          </cell>
          <cell r="AX27">
            <v>4980</v>
          </cell>
          <cell r="AY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-6.2727272626943886E-2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5.0000000162981451E-2</v>
          </cell>
          <cell r="AA28">
            <v>-6.2727272626943886E-2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-6.2727272626943886E-2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</row>
        <row r="30"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</sheetData>
      <sheetData sheetId="8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</row>
        <row r="3">
          <cell r="A3" t="str">
            <v>Payroll Period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 t="str">
            <v>PAYROLL REGISTER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EARNINGS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 t="str">
            <v>DEDUCTION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</row>
        <row r="4">
          <cell r="A4" t="str">
            <v>MAY 2022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NAME</v>
          </cell>
          <cell r="C5" t="str">
            <v>EMPLOYEE'S NAME</v>
          </cell>
          <cell r="D5" t="str">
            <v>ACCOUNT NO.</v>
          </cell>
          <cell r="E5" t="str">
            <v>NET 15</v>
          </cell>
          <cell r="F5" t="str">
            <v>NET 30</v>
          </cell>
          <cell r="G5" t="str">
            <v>NET TOTAL</v>
          </cell>
          <cell r="H5">
            <v>0</v>
          </cell>
          <cell r="I5">
            <v>0</v>
          </cell>
          <cell r="K5">
            <v>0</v>
          </cell>
          <cell r="L5" t="str">
            <v>GROSSEARNINGS</v>
          </cell>
          <cell r="M5" t="str">
            <v>TOTAL DED'N.</v>
          </cell>
          <cell r="N5" t="str">
            <v>SSS CONT</v>
          </cell>
          <cell r="O5" t="str">
            <v>SSSLOAN</v>
          </cell>
          <cell r="P5" t="str">
            <v>HDMFCONT</v>
          </cell>
          <cell r="Q5">
            <v>0</v>
          </cell>
          <cell r="R5" t="str">
            <v>HDMFLOAN</v>
          </cell>
          <cell r="S5" t="str">
            <v>PHICCONT</v>
          </cell>
          <cell r="T5">
            <v>0</v>
          </cell>
          <cell r="U5" t="str">
            <v>OTHERDED'N.</v>
          </cell>
          <cell r="V5" t="str">
            <v>LWOP</v>
          </cell>
          <cell r="W5" t="str">
            <v>BASETAX</v>
          </cell>
          <cell r="X5" t="str">
            <v>ALLOWANCE</v>
          </cell>
          <cell r="Y5" t="str">
            <v>NET 15</v>
          </cell>
          <cell r="Z5" t="str">
            <v>NET 30</v>
          </cell>
          <cell r="AA5" t="str">
            <v>NET EARNINGS</v>
          </cell>
          <cell r="AB5">
            <v>0</v>
          </cell>
          <cell r="AC5">
            <v>0</v>
          </cell>
          <cell r="AF5" t="str">
            <v>NAME</v>
          </cell>
          <cell r="AG5" t="str">
            <v>BASIC RATE</v>
          </cell>
          <cell r="AH5" t="str">
            <v>HOLIDAY PAY</v>
          </cell>
          <cell r="AI5" t="str">
            <v>NIGHT DIFF</v>
          </cell>
          <cell r="AJ5" t="str">
            <v>OT PAY</v>
          </cell>
          <cell r="AK5" t="str">
            <v>OTHER ADDT'L.</v>
          </cell>
          <cell r="AL5" t="str">
            <v>ADJUSTMENT</v>
          </cell>
          <cell r="AN5" t="str">
            <v>GROSS EARNINGS</v>
          </cell>
          <cell r="AQ5" t="str">
            <v>NAME</v>
          </cell>
          <cell r="AS5" t="str">
            <v>SSS CONT</v>
          </cell>
          <cell r="AT5" t="str">
            <v>SSSLOAN</v>
          </cell>
          <cell r="AU5" t="str">
            <v>HDMFCONT</v>
          </cell>
          <cell r="AV5">
            <v>0</v>
          </cell>
          <cell r="AW5" t="str">
            <v>HDMFLOAN</v>
          </cell>
          <cell r="AX5" t="str">
            <v>PHICCONT</v>
          </cell>
          <cell r="AY5">
            <v>0</v>
          </cell>
        </row>
        <row r="6">
          <cell r="A6" t="str">
            <v>Dangoy, Albert John S.</v>
          </cell>
          <cell r="B6" t="str">
            <v>ok</v>
          </cell>
          <cell r="C6" t="str">
            <v>Dangoy, Albert John S.</v>
          </cell>
          <cell r="D6">
            <v>9249537869</v>
          </cell>
          <cell r="E6">
            <v>16342.97</v>
          </cell>
          <cell r="F6">
            <v>16342.97</v>
          </cell>
          <cell r="G6">
            <v>32685.94</v>
          </cell>
          <cell r="H6">
            <v>0</v>
          </cell>
          <cell r="J6" t="str">
            <v>ok</v>
          </cell>
          <cell r="K6" t="str">
            <v>Dangoy, Albert John S.</v>
          </cell>
          <cell r="L6">
            <v>22738.639999999999</v>
          </cell>
          <cell r="M6">
            <v>10052.705627705629</v>
          </cell>
          <cell r="N6">
            <v>900</v>
          </cell>
          <cell r="O6">
            <v>0</v>
          </cell>
          <cell r="P6">
            <v>100</v>
          </cell>
          <cell r="Q6">
            <v>0</v>
          </cell>
          <cell r="R6">
            <v>0</v>
          </cell>
          <cell r="S6">
            <v>300</v>
          </cell>
          <cell r="T6">
            <v>0</v>
          </cell>
          <cell r="U6">
            <v>4943.1818181818189</v>
          </cell>
          <cell r="V6">
            <v>3809.5238095238092</v>
          </cell>
          <cell r="W6">
            <v>0</v>
          </cell>
          <cell r="X6">
            <v>20000</v>
          </cell>
          <cell r="Y6">
            <v>16342.97</v>
          </cell>
          <cell r="Z6">
            <v>16342.96</v>
          </cell>
          <cell r="AA6">
            <v>32685.93437229437</v>
          </cell>
          <cell r="AE6" t="str">
            <v>ok</v>
          </cell>
          <cell r="AF6" t="str">
            <v>Dangoy, Albert John S.</v>
          </cell>
          <cell r="AG6">
            <v>20000</v>
          </cell>
          <cell r="AH6">
            <v>909.09090909090912</v>
          </cell>
          <cell r="AI6">
            <v>1829.545454545455</v>
          </cell>
          <cell r="AN6">
            <v>22738.639999999999</v>
          </cell>
          <cell r="AP6" t="str">
            <v>ok</v>
          </cell>
          <cell r="AQ6" t="str">
            <v>Dangoy, Albert John S.</v>
          </cell>
          <cell r="AS6">
            <v>900</v>
          </cell>
          <cell r="AT6">
            <v>0</v>
          </cell>
          <cell r="AU6">
            <v>100</v>
          </cell>
          <cell r="AV6">
            <v>0</v>
          </cell>
          <cell r="AW6">
            <v>0</v>
          </cell>
          <cell r="AX6">
            <v>300</v>
          </cell>
          <cell r="AY6">
            <v>0</v>
          </cell>
        </row>
        <row r="7">
          <cell r="A7" t="str">
            <v>Salazar, Jim Tracy J.</v>
          </cell>
          <cell r="B7" t="str">
            <v>ok</v>
          </cell>
          <cell r="C7" t="str">
            <v>Salazar, Jim Tracy J.</v>
          </cell>
          <cell r="D7">
            <v>9249537761</v>
          </cell>
          <cell r="E7">
            <v>15888.42</v>
          </cell>
          <cell r="F7">
            <v>15888.42</v>
          </cell>
          <cell r="G7">
            <v>31776.84</v>
          </cell>
          <cell r="H7">
            <v>0</v>
          </cell>
          <cell r="J7" t="str">
            <v>ok</v>
          </cell>
          <cell r="K7" t="str">
            <v>Salazar, Jim Tracy J.</v>
          </cell>
          <cell r="L7">
            <v>21829.55</v>
          </cell>
          <cell r="M7">
            <v>10052.705627705629</v>
          </cell>
          <cell r="N7">
            <v>900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300</v>
          </cell>
          <cell r="T7">
            <v>0</v>
          </cell>
          <cell r="U7">
            <v>4943.1818181818189</v>
          </cell>
          <cell r="V7">
            <v>3809.5238095238092</v>
          </cell>
          <cell r="W7">
            <v>0</v>
          </cell>
          <cell r="X7">
            <v>20000</v>
          </cell>
          <cell r="Y7">
            <v>15888.42</v>
          </cell>
          <cell r="Z7">
            <v>15888.42</v>
          </cell>
          <cell r="AA7">
            <v>31776.84437229437</v>
          </cell>
          <cell r="AE7" t="str">
            <v>ok</v>
          </cell>
          <cell r="AF7" t="str">
            <v>Salazar, Jim Tracy J.</v>
          </cell>
          <cell r="AG7">
            <v>20000</v>
          </cell>
          <cell r="AH7">
            <v>0</v>
          </cell>
          <cell r="AI7">
            <v>1829.545454545455</v>
          </cell>
          <cell r="AN7">
            <v>21829.55</v>
          </cell>
          <cell r="AP7" t="str">
            <v>ok</v>
          </cell>
          <cell r="AQ7" t="str">
            <v>Salazar, Jim Tracy J.</v>
          </cell>
          <cell r="AS7">
            <v>900</v>
          </cell>
          <cell r="AT7">
            <v>0</v>
          </cell>
          <cell r="AU7">
            <v>100</v>
          </cell>
          <cell r="AV7">
            <v>0</v>
          </cell>
          <cell r="AW7">
            <v>0</v>
          </cell>
          <cell r="AX7">
            <v>300</v>
          </cell>
          <cell r="AY7">
            <v>0</v>
          </cell>
        </row>
        <row r="8">
          <cell r="A8" t="str">
            <v>Reveriza, Emmar T.</v>
          </cell>
          <cell r="B8" t="str">
            <v>ok</v>
          </cell>
          <cell r="C8" t="str">
            <v>Reveriza, Emmar T.</v>
          </cell>
          <cell r="D8">
            <v>9249537737</v>
          </cell>
          <cell r="E8">
            <v>50719.32</v>
          </cell>
          <cell r="F8">
            <v>50719.31</v>
          </cell>
          <cell r="G8">
            <v>101438.63</v>
          </cell>
          <cell r="H8">
            <v>0</v>
          </cell>
          <cell r="J8" t="str">
            <v>ok</v>
          </cell>
          <cell r="K8" t="str">
            <v>Reveriza, Emmar T.</v>
          </cell>
          <cell r="L8">
            <v>22738.639999999999</v>
          </cell>
          <cell r="M8">
            <v>1300</v>
          </cell>
          <cell r="N8">
            <v>900</v>
          </cell>
          <cell r="O8">
            <v>0</v>
          </cell>
          <cell r="P8">
            <v>100</v>
          </cell>
          <cell r="Q8">
            <v>0</v>
          </cell>
          <cell r="R8">
            <v>0</v>
          </cell>
          <cell r="S8">
            <v>300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80000</v>
          </cell>
          <cell r="Y8">
            <v>50719.32</v>
          </cell>
          <cell r="Z8">
            <v>50719.32</v>
          </cell>
          <cell r="AA8">
            <v>101438.64</v>
          </cell>
          <cell r="AE8" t="str">
            <v>ok</v>
          </cell>
          <cell r="AF8" t="str">
            <v>Reveriza, Emmar T.</v>
          </cell>
          <cell r="AG8">
            <v>20000</v>
          </cell>
          <cell r="AH8">
            <v>909.09090909090912</v>
          </cell>
          <cell r="AI8">
            <v>1829.545454545455</v>
          </cell>
          <cell r="AN8">
            <v>22738.639999999999</v>
          </cell>
          <cell r="AP8" t="str">
            <v>ok</v>
          </cell>
          <cell r="AQ8" t="str">
            <v>Reveriza, Emmar T.</v>
          </cell>
          <cell r="AS8">
            <v>900</v>
          </cell>
          <cell r="AT8">
            <v>0</v>
          </cell>
          <cell r="AU8">
            <v>100</v>
          </cell>
          <cell r="AV8">
            <v>0</v>
          </cell>
          <cell r="AW8">
            <v>0</v>
          </cell>
          <cell r="AX8">
            <v>300</v>
          </cell>
          <cell r="AY8">
            <v>0</v>
          </cell>
        </row>
        <row r="9">
          <cell r="A9" t="str">
            <v>Gulmatico, Joyce A.</v>
          </cell>
          <cell r="B9" t="str">
            <v>ok</v>
          </cell>
          <cell r="C9" t="str">
            <v>Gulmatico, Joyce A.</v>
          </cell>
          <cell r="D9">
            <v>9249537796</v>
          </cell>
          <cell r="E9">
            <v>35719.32</v>
          </cell>
          <cell r="F9">
            <v>35719.32</v>
          </cell>
          <cell r="G9">
            <v>71438.64</v>
          </cell>
          <cell r="H9">
            <v>0</v>
          </cell>
          <cell r="J9" t="str">
            <v>ok</v>
          </cell>
          <cell r="K9" t="str">
            <v>Gulmatico, Joyce A.</v>
          </cell>
          <cell r="L9">
            <v>22738.639999999999</v>
          </cell>
          <cell r="M9">
            <v>1300</v>
          </cell>
          <cell r="N9">
            <v>900</v>
          </cell>
          <cell r="O9">
            <v>0</v>
          </cell>
          <cell r="P9">
            <v>100</v>
          </cell>
          <cell r="Q9">
            <v>0</v>
          </cell>
          <cell r="R9">
            <v>0</v>
          </cell>
          <cell r="S9">
            <v>300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50000</v>
          </cell>
          <cell r="Y9">
            <v>35719.32</v>
          </cell>
          <cell r="Z9">
            <v>35719.32</v>
          </cell>
          <cell r="AA9">
            <v>71438.64</v>
          </cell>
          <cell r="AE9" t="str">
            <v>ok</v>
          </cell>
          <cell r="AF9" t="str">
            <v>Gulmatico, Joyce A.</v>
          </cell>
          <cell r="AG9">
            <v>20000</v>
          </cell>
          <cell r="AH9">
            <v>909.09090909090912</v>
          </cell>
          <cell r="AI9">
            <v>1829.545454545455</v>
          </cell>
          <cell r="AN9">
            <v>22738.639999999999</v>
          </cell>
          <cell r="AP9" t="str">
            <v>ok</v>
          </cell>
          <cell r="AQ9" t="str">
            <v>Gulmatico, Joyce A.</v>
          </cell>
          <cell r="AS9">
            <v>900</v>
          </cell>
          <cell r="AT9">
            <v>0</v>
          </cell>
          <cell r="AU9">
            <v>100</v>
          </cell>
          <cell r="AV9">
            <v>0</v>
          </cell>
          <cell r="AW9">
            <v>0</v>
          </cell>
          <cell r="AX9">
            <v>300</v>
          </cell>
          <cell r="AY9">
            <v>0</v>
          </cell>
        </row>
        <row r="10">
          <cell r="A10" t="str">
            <v>Manuel, Maria Fe M.</v>
          </cell>
          <cell r="B10" t="str">
            <v>ok</v>
          </cell>
          <cell r="C10" t="str">
            <v>Manuel, Maria Fe M.</v>
          </cell>
          <cell r="D10">
            <v>9249537788</v>
          </cell>
          <cell r="E10">
            <v>35719.32</v>
          </cell>
          <cell r="F10">
            <v>35719.32</v>
          </cell>
          <cell r="G10">
            <v>71438.64</v>
          </cell>
          <cell r="H10">
            <v>0</v>
          </cell>
          <cell r="J10" t="str">
            <v>ok</v>
          </cell>
          <cell r="K10" t="str">
            <v>Manuel, Maria Fe M.</v>
          </cell>
          <cell r="L10">
            <v>22738.639999999999</v>
          </cell>
          <cell r="M10">
            <v>1300</v>
          </cell>
          <cell r="N10">
            <v>900</v>
          </cell>
          <cell r="O10">
            <v>0</v>
          </cell>
          <cell r="P10">
            <v>100</v>
          </cell>
          <cell r="Q10">
            <v>0</v>
          </cell>
          <cell r="R10">
            <v>0</v>
          </cell>
          <cell r="S10">
            <v>300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50000</v>
          </cell>
          <cell r="Y10">
            <v>35719.32</v>
          </cell>
          <cell r="Z10">
            <v>35719.32</v>
          </cell>
          <cell r="AA10">
            <v>71438.64</v>
          </cell>
          <cell r="AE10" t="str">
            <v>ok</v>
          </cell>
          <cell r="AF10" t="str">
            <v>Manuel, Maria Fe M.</v>
          </cell>
          <cell r="AG10">
            <v>20000</v>
          </cell>
          <cell r="AH10">
            <v>909.09090909090912</v>
          </cell>
          <cell r="AI10">
            <v>1829.545454545455</v>
          </cell>
          <cell r="AN10">
            <v>22738.639999999999</v>
          </cell>
          <cell r="AP10" t="str">
            <v>ok</v>
          </cell>
          <cell r="AQ10" t="str">
            <v>Manuel, Maria Fe M.</v>
          </cell>
          <cell r="AS10">
            <v>900</v>
          </cell>
          <cell r="AT10">
            <v>0</v>
          </cell>
          <cell r="AU10">
            <v>100</v>
          </cell>
          <cell r="AV10">
            <v>0</v>
          </cell>
          <cell r="AW10">
            <v>0</v>
          </cell>
          <cell r="AX10">
            <v>300</v>
          </cell>
          <cell r="AY10">
            <v>0</v>
          </cell>
        </row>
        <row r="11">
          <cell r="A11" t="str">
            <v>Salveron, John V.</v>
          </cell>
          <cell r="B11" t="str">
            <v>ok</v>
          </cell>
          <cell r="C11" t="str">
            <v>Salveron, John V.</v>
          </cell>
          <cell r="D11">
            <v>9249537702</v>
          </cell>
          <cell r="E11">
            <v>15003.41</v>
          </cell>
          <cell r="F11">
            <v>15003.41</v>
          </cell>
          <cell r="G11">
            <v>30006.82</v>
          </cell>
          <cell r="H11">
            <v>0</v>
          </cell>
          <cell r="J11" t="str">
            <v>ok</v>
          </cell>
          <cell r="K11" t="str">
            <v>Salveron, John V.</v>
          </cell>
          <cell r="L11">
            <v>23306.82</v>
          </cell>
          <cell r="M11">
            <v>1300</v>
          </cell>
          <cell r="N11">
            <v>900</v>
          </cell>
          <cell r="O11">
            <v>0</v>
          </cell>
          <cell r="P11">
            <v>100</v>
          </cell>
          <cell r="Q11">
            <v>0</v>
          </cell>
          <cell r="R11">
            <v>0</v>
          </cell>
          <cell r="S11">
            <v>300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8000</v>
          </cell>
          <cell r="Y11">
            <v>15003.41</v>
          </cell>
          <cell r="Z11">
            <v>15003.41</v>
          </cell>
          <cell r="AA11">
            <v>30006.82</v>
          </cell>
          <cell r="AE11" t="str">
            <v>ok</v>
          </cell>
          <cell r="AF11" t="str">
            <v>Salveron, John V.</v>
          </cell>
          <cell r="AG11">
            <v>20000</v>
          </cell>
          <cell r="AH11">
            <v>909.09090909090912</v>
          </cell>
          <cell r="AI11">
            <v>1829.545454545455</v>
          </cell>
          <cell r="AJ11">
            <v>568.18181818181824</v>
          </cell>
          <cell r="AN11">
            <v>23306.82</v>
          </cell>
          <cell r="AP11" t="str">
            <v>ok</v>
          </cell>
          <cell r="AQ11" t="str">
            <v>Salveron, John V.</v>
          </cell>
          <cell r="AS11">
            <v>900</v>
          </cell>
          <cell r="AT11">
            <v>0</v>
          </cell>
          <cell r="AU11">
            <v>100</v>
          </cell>
          <cell r="AV11">
            <v>0</v>
          </cell>
          <cell r="AW11">
            <v>0</v>
          </cell>
          <cell r="AX11">
            <v>300</v>
          </cell>
          <cell r="AY11">
            <v>0</v>
          </cell>
        </row>
        <row r="12">
          <cell r="A12" t="str">
            <v>Almorin, Mary Flor S.</v>
          </cell>
          <cell r="B12" t="str">
            <v>ok</v>
          </cell>
          <cell r="C12" t="str">
            <v>Almorin, Mary Flor S.</v>
          </cell>
          <cell r="D12">
            <v>9249537672</v>
          </cell>
          <cell r="E12">
            <v>10264.780000000001</v>
          </cell>
          <cell r="F12">
            <v>10264.77</v>
          </cell>
          <cell r="G12">
            <v>20529.55</v>
          </cell>
          <cell r="H12">
            <v>0</v>
          </cell>
          <cell r="J12" t="str">
            <v>ok</v>
          </cell>
          <cell r="K12" t="str">
            <v>Almorin, Mary Flor S.</v>
          </cell>
          <cell r="L12">
            <v>21829.55</v>
          </cell>
          <cell r="M12">
            <v>1300</v>
          </cell>
          <cell r="N12">
            <v>900</v>
          </cell>
          <cell r="O12">
            <v>0</v>
          </cell>
          <cell r="P12">
            <v>100</v>
          </cell>
          <cell r="Q12">
            <v>0</v>
          </cell>
          <cell r="R12">
            <v>0</v>
          </cell>
          <cell r="S12">
            <v>300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10264.780000000001</v>
          </cell>
          <cell r="Z12">
            <v>10264.77</v>
          </cell>
          <cell r="AA12">
            <v>20529.55</v>
          </cell>
          <cell r="AE12" t="str">
            <v>ok</v>
          </cell>
          <cell r="AF12" t="str">
            <v>Almorin, Mary Flor S.</v>
          </cell>
          <cell r="AG12">
            <v>20000</v>
          </cell>
          <cell r="AH12">
            <v>0</v>
          </cell>
          <cell r="AI12">
            <v>1829.545454545455</v>
          </cell>
          <cell r="AN12">
            <v>21829.55</v>
          </cell>
          <cell r="AP12" t="str">
            <v>ok</v>
          </cell>
          <cell r="AQ12" t="str">
            <v>Almorin, Mary Flor S.</v>
          </cell>
          <cell r="AS12">
            <v>900</v>
          </cell>
          <cell r="AT12">
            <v>0</v>
          </cell>
          <cell r="AU12">
            <v>100</v>
          </cell>
          <cell r="AV12">
            <v>0</v>
          </cell>
          <cell r="AW12">
            <v>0</v>
          </cell>
          <cell r="AX12">
            <v>300</v>
          </cell>
          <cell r="AY12">
            <v>0</v>
          </cell>
        </row>
        <row r="13">
          <cell r="A13" t="str">
            <v>Mateo Jr., Romeo A.</v>
          </cell>
          <cell r="B13" t="str">
            <v>ok</v>
          </cell>
          <cell r="C13" t="str">
            <v>Mateo Jr., Romeo A.</v>
          </cell>
          <cell r="D13">
            <v>9249537877</v>
          </cell>
          <cell r="E13">
            <v>18219.32</v>
          </cell>
          <cell r="F13">
            <v>18219.32</v>
          </cell>
          <cell r="G13">
            <v>36438.639999999999</v>
          </cell>
          <cell r="H13">
            <v>0</v>
          </cell>
          <cell r="J13" t="str">
            <v>ok</v>
          </cell>
          <cell r="K13" t="str">
            <v>Mateo Jr., Romeo A.</v>
          </cell>
          <cell r="L13">
            <v>22738.639999999999</v>
          </cell>
          <cell r="M13">
            <v>1300</v>
          </cell>
          <cell r="N13">
            <v>900</v>
          </cell>
          <cell r="O13">
            <v>0</v>
          </cell>
          <cell r="P13">
            <v>100</v>
          </cell>
          <cell r="Q13">
            <v>0</v>
          </cell>
          <cell r="R13">
            <v>0</v>
          </cell>
          <cell r="S13">
            <v>300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15000</v>
          </cell>
          <cell r="Y13">
            <v>18219.32</v>
          </cell>
          <cell r="Z13">
            <v>18219.32</v>
          </cell>
          <cell r="AA13">
            <v>36438.639999999999</v>
          </cell>
          <cell r="AE13" t="str">
            <v>ok</v>
          </cell>
          <cell r="AF13" t="str">
            <v>Mateo Jr., Romeo A.</v>
          </cell>
          <cell r="AG13">
            <v>20000</v>
          </cell>
          <cell r="AH13">
            <v>909.09090909090912</v>
          </cell>
          <cell r="AI13">
            <v>1829.545454545455</v>
          </cell>
          <cell r="AN13">
            <v>22738.639999999999</v>
          </cell>
          <cell r="AP13" t="str">
            <v>ok</v>
          </cell>
          <cell r="AQ13" t="str">
            <v>Mateo Jr., Romeo A.</v>
          </cell>
          <cell r="AS13">
            <v>900</v>
          </cell>
          <cell r="AT13">
            <v>0</v>
          </cell>
          <cell r="AU13">
            <v>100</v>
          </cell>
          <cell r="AV13">
            <v>0</v>
          </cell>
          <cell r="AW13">
            <v>0</v>
          </cell>
          <cell r="AX13">
            <v>300</v>
          </cell>
          <cell r="AY13">
            <v>0</v>
          </cell>
        </row>
        <row r="14">
          <cell r="A14" t="str">
            <v>Villaruz, Roger C.</v>
          </cell>
          <cell r="B14" t="str">
            <v>ok</v>
          </cell>
          <cell r="C14" t="str">
            <v>Villaruz, Roger C.</v>
          </cell>
          <cell r="D14">
            <v>9249537729</v>
          </cell>
          <cell r="E14">
            <v>18219.32</v>
          </cell>
          <cell r="F14">
            <v>18219.32</v>
          </cell>
          <cell r="G14">
            <v>36438.639999999999</v>
          </cell>
          <cell r="H14">
            <v>0</v>
          </cell>
          <cell r="J14" t="str">
            <v>ok</v>
          </cell>
          <cell r="K14" t="str">
            <v>Villaruz, Roger C.</v>
          </cell>
          <cell r="L14">
            <v>22738.639999999999</v>
          </cell>
          <cell r="M14">
            <v>1300</v>
          </cell>
          <cell r="N14">
            <v>900</v>
          </cell>
          <cell r="O14">
            <v>0</v>
          </cell>
          <cell r="P14">
            <v>100</v>
          </cell>
          <cell r="Q14">
            <v>0</v>
          </cell>
          <cell r="R14">
            <v>0</v>
          </cell>
          <cell r="S14">
            <v>300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15000</v>
          </cell>
          <cell r="Y14">
            <v>18219.32</v>
          </cell>
          <cell r="Z14">
            <v>18219.32</v>
          </cell>
          <cell r="AA14">
            <v>36438.639999999999</v>
          </cell>
          <cell r="AE14" t="str">
            <v>ok</v>
          </cell>
          <cell r="AF14" t="str">
            <v>Villaruz, Roger C.</v>
          </cell>
          <cell r="AG14">
            <v>20000</v>
          </cell>
          <cell r="AH14">
            <v>909.09090909090912</v>
          </cell>
          <cell r="AI14">
            <v>1829.545454545455</v>
          </cell>
          <cell r="AN14">
            <v>22738.639999999999</v>
          </cell>
          <cell r="AP14" t="str">
            <v>ok</v>
          </cell>
          <cell r="AQ14" t="str">
            <v>Villaruz, Roger C.</v>
          </cell>
          <cell r="AS14">
            <v>900</v>
          </cell>
          <cell r="AT14">
            <v>0</v>
          </cell>
          <cell r="AU14">
            <v>100</v>
          </cell>
          <cell r="AV14">
            <v>0</v>
          </cell>
          <cell r="AW14">
            <v>0</v>
          </cell>
          <cell r="AX14">
            <v>300</v>
          </cell>
          <cell r="AY14">
            <v>0</v>
          </cell>
        </row>
        <row r="15">
          <cell r="A15" t="str">
            <v>Alinsangan, Mary Hannah</v>
          </cell>
          <cell r="B15" t="str">
            <v>ok</v>
          </cell>
          <cell r="C15" t="str">
            <v>Alinsangan, Mary Hannah</v>
          </cell>
          <cell r="D15">
            <v>9249539462</v>
          </cell>
          <cell r="E15">
            <v>9828.35</v>
          </cell>
          <cell r="F15">
            <v>9828.35</v>
          </cell>
          <cell r="G15">
            <v>19656.7</v>
          </cell>
          <cell r="H15">
            <v>0</v>
          </cell>
          <cell r="J15" t="str">
            <v>ok</v>
          </cell>
          <cell r="K15" t="str">
            <v>Alinsangan, Mary Hannah</v>
          </cell>
          <cell r="L15">
            <v>20776.7</v>
          </cell>
          <cell r="M15">
            <v>1120</v>
          </cell>
          <cell r="N15">
            <v>765</v>
          </cell>
          <cell r="O15">
            <v>0</v>
          </cell>
          <cell r="P15">
            <v>100</v>
          </cell>
          <cell r="Q15">
            <v>0</v>
          </cell>
          <cell r="R15">
            <v>0</v>
          </cell>
          <cell r="S15">
            <v>255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9828.35</v>
          </cell>
          <cell r="Z15">
            <v>9828.35</v>
          </cell>
          <cell r="AA15">
            <v>19656.7</v>
          </cell>
          <cell r="AE15" t="str">
            <v>ok</v>
          </cell>
          <cell r="AF15" t="str">
            <v>Alinsangan, Mary Hannah</v>
          </cell>
          <cell r="AG15">
            <v>17000</v>
          </cell>
          <cell r="AH15">
            <v>772.72727272727275</v>
          </cell>
          <cell r="AI15">
            <v>1555.1136363636365</v>
          </cell>
          <cell r="AJ15">
            <v>1448.8636363636365</v>
          </cell>
          <cell r="AN15">
            <v>20776.7</v>
          </cell>
          <cell r="AP15" t="str">
            <v>ok</v>
          </cell>
          <cell r="AQ15" t="str">
            <v>Alinsangan, Mary Hannah</v>
          </cell>
          <cell r="AS15">
            <v>765</v>
          </cell>
          <cell r="AT15">
            <v>0</v>
          </cell>
          <cell r="AU15">
            <v>100</v>
          </cell>
          <cell r="AV15">
            <v>0</v>
          </cell>
          <cell r="AW15">
            <v>0</v>
          </cell>
          <cell r="AX15">
            <v>255</v>
          </cell>
          <cell r="AY15">
            <v>0</v>
          </cell>
        </row>
        <row r="16">
          <cell r="A16" t="str">
            <v>Guinanao, Jelyn</v>
          </cell>
          <cell r="B16" t="str">
            <v>ok</v>
          </cell>
          <cell r="C16" t="str">
            <v>Guinanao, Jelyn</v>
          </cell>
          <cell r="D16">
            <v>9249541513</v>
          </cell>
          <cell r="E16">
            <v>13284.66</v>
          </cell>
          <cell r="F16">
            <v>13284.66</v>
          </cell>
          <cell r="G16">
            <v>26569.32</v>
          </cell>
          <cell r="H16">
            <v>0</v>
          </cell>
          <cell r="J16" t="str">
            <v>ok</v>
          </cell>
          <cell r="K16" t="str">
            <v>Guinanao, Jelyn</v>
          </cell>
          <cell r="L16">
            <v>24869.32</v>
          </cell>
          <cell r="M16">
            <v>1300</v>
          </cell>
          <cell r="N16">
            <v>900</v>
          </cell>
          <cell r="O16">
            <v>0</v>
          </cell>
          <cell r="P16">
            <v>100</v>
          </cell>
          <cell r="Q16">
            <v>0</v>
          </cell>
          <cell r="R16">
            <v>0</v>
          </cell>
          <cell r="S16">
            <v>300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3000</v>
          </cell>
          <cell r="Y16">
            <v>13284.66</v>
          </cell>
          <cell r="Z16">
            <v>13284.66</v>
          </cell>
          <cell r="AA16">
            <v>26569.32</v>
          </cell>
          <cell r="AE16" t="str">
            <v>ok</v>
          </cell>
          <cell r="AF16" t="str">
            <v>Guinanao, Jelyn</v>
          </cell>
          <cell r="AG16">
            <v>20000</v>
          </cell>
          <cell r="AH16">
            <v>909.09090909090912</v>
          </cell>
          <cell r="AI16">
            <v>1829.545454545455</v>
          </cell>
          <cell r="AJ16">
            <v>2130.6818181818185</v>
          </cell>
          <cell r="AN16">
            <v>24869.32</v>
          </cell>
          <cell r="AP16" t="str">
            <v>ok</v>
          </cell>
          <cell r="AQ16" t="str">
            <v>Guinanao, Jelyn</v>
          </cell>
          <cell r="AR16">
            <v>0</v>
          </cell>
          <cell r="AS16">
            <v>900</v>
          </cell>
          <cell r="AU16">
            <v>100</v>
          </cell>
          <cell r="AX16">
            <v>300</v>
          </cell>
        </row>
        <row r="17">
          <cell r="A17" t="str">
            <v>Buño, Ernesto Jr</v>
          </cell>
          <cell r="B17" t="str">
            <v>ok</v>
          </cell>
          <cell r="C17" t="str">
            <v>Buño, Ernesto Jr</v>
          </cell>
          <cell r="D17">
            <v>9249526662</v>
          </cell>
          <cell r="E17">
            <v>23219.32</v>
          </cell>
          <cell r="F17">
            <v>23219.32</v>
          </cell>
          <cell r="G17">
            <v>46438.64</v>
          </cell>
          <cell r="H17">
            <v>0</v>
          </cell>
          <cell r="J17" t="str">
            <v>ok</v>
          </cell>
          <cell r="K17" t="str">
            <v>Buño, Ernesto Jr</v>
          </cell>
          <cell r="L17">
            <v>22738.639999999999</v>
          </cell>
          <cell r="M17">
            <v>1300</v>
          </cell>
          <cell r="N17">
            <v>900</v>
          </cell>
          <cell r="O17">
            <v>0</v>
          </cell>
          <cell r="P17">
            <v>100</v>
          </cell>
          <cell r="Q17">
            <v>0</v>
          </cell>
          <cell r="R17">
            <v>0</v>
          </cell>
          <cell r="S17">
            <v>300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25000</v>
          </cell>
          <cell r="Y17">
            <v>23219.32</v>
          </cell>
          <cell r="Z17">
            <v>23219.31</v>
          </cell>
          <cell r="AA17">
            <v>46438.63</v>
          </cell>
          <cell r="AE17" t="str">
            <v>ok</v>
          </cell>
          <cell r="AF17" t="str">
            <v>Buño, Ernesto Jr</v>
          </cell>
          <cell r="AG17">
            <v>20000</v>
          </cell>
          <cell r="AH17">
            <v>909.09090909090912</v>
          </cell>
          <cell r="AI17">
            <v>1829.545454545455</v>
          </cell>
          <cell r="AN17">
            <v>22738.639999999999</v>
          </cell>
          <cell r="AP17" t="str">
            <v>ok</v>
          </cell>
          <cell r="AQ17" t="str">
            <v>Buño, Ernesto Jr</v>
          </cell>
          <cell r="AR17">
            <v>0</v>
          </cell>
          <cell r="AS17">
            <v>900</v>
          </cell>
          <cell r="AU17">
            <v>100</v>
          </cell>
          <cell r="AX17">
            <v>300</v>
          </cell>
        </row>
        <row r="18">
          <cell r="A18" t="str">
            <v>Panganiban, Janine</v>
          </cell>
          <cell r="B18" t="str">
            <v>ok</v>
          </cell>
          <cell r="C18" t="str">
            <v>Panganiban, Janine</v>
          </cell>
          <cell r="D18">
            <v>9249547155</v>
          </cell>
          <cell r="E18">
            <v>11719.32</v>
          </cell>
          <cell r="F18">
            <v>11719.32</v>
          </cell>
          <cell r="G18">
            <v>23438.639999999999</v>
          </cell>
          <cell r="H18">
            <v>0</v>
          </cell>
          <cell r="J18" t="str">
            <v>ok</v>
          </cell>
          <cell r="K18" t="str">
            <v>Panganiban, Janine</v>
          </cell>
          <cell r="L18">
            <v>22738.639999999999</v>
          </cell>
          <cell r="M18">
            <v>1300</v>
          </cell>
          <cell r="N18">
            <v>900</v>
          </cell>
          <cell r="O18">
            <v>0</v>
          </cell>
          <cell r="P18">
            <v>100</v>
          </cell>
          <cell r="Q18">
            <v>0</v>
          </cell>
          <cell r="R18">
            <v>0</v>
          </cell>
          <cell r="S18">
            <v>300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2000</v>
          </cell>
          <cell r="Y18">
            <v>11719.32</v>
          </cell>
          <cell r="Z18">
            <v>11719.31</v>
          </cell>
          <cell r="AA18">
            <v>23438.63</v>
          </cell>
          <cell r="AE18" t="str">
            <v>ok</v>
          </cell>
          <cell r="AF18" t="str">
            <v>Panganiban, Janine</v>
          </cell>
          <cell r="AG18">
            <v>20000</v>
          </cell>
          <cell r="AH18">
            <v>909.09090909090912</v>
          </cell>
          <cell r="AI18">
            <v>1829.545454545455</v>
          </cell>
          <cell r="AN18">
            <v>22738.639999999999</v>
          </cell>
          <cell r="AP18" t="str">
            <v>ok</v>
          </cell>
          <cell r="AQ18" t="str">
            <v>Panganiban, Janine</v>
          </cell>
          <cell r="AR18">
            <v>0</v>
          </cell>
          <cell r="AS18">
            <v>900</v>
          </cell>
          <cell r="AU18">
            <v>100</v>
          </cell>
          <cell r="AX18">
            <v>300</v>
          </cell>
        </row>
        <row r="19">
          <cell r="A19" t="str">
            <v>Divinagracia, Vince Angelo</v>
          </cell>
          <cell r="B19" t="str">
            <v>ok</v>
          </cell>
          <cell r="C19" t="str">
            <v>Divinagracia, Vince Angelo</v>
          </cell>
          <cell r="D19">
            <v>9249548585</v>
          </cell>
          <cell r="E19">
            <v>8026.99</v>
          </cell>
          <cell r="F19">
            <v>8026.99</v>
          </cell>
          <cell r="G19">
            <v>16053.98</v>
          </cell>
          <cell r="H19">
            <v>0</v>
          </cell>
          <cell r="J19" t="str">
            <v>ok</v>
          </cell>
          <cell r="K19" t="str">
            <v>Divinagracia, Vince Angelo</v>
          </cell>
          <cell r="L19">
            <v>17053.98</v>
          </cell>
          <cell r="M19">
            <v>1000</v>
          </cell>
          <cell r="N19">
            <v>675</v>
          </cell>
          <cell r="O19">
            <v>0</v>
          </cell>
          <cell r="P19">
            <v>100</v>
          </cell>
          <cell r="Q19">
            <v>0</v>
          </cell>
          <cell r="R19">
            <v>0</v>
          </cell>
          <cell r="S19">
            <v>225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8026.99</v>
          </cell>
          <cell r="Z19">
            <v>8026.98</v>
          </cell>
          <cell r="AA19">
            <v>16053.97</v>
          </cell>
          <cell r="AE19" t="str">
            <v>ok</v>
          </cell>
          <cell r="AF19" t="str">
            <v>Divinagracia, Vince Angelo</v>
          </cell>
          <cell r="AG19">
            <v>15000</v>
          </cell>
          <cell r="AH19">
            <v>681.81818181818187</v>
          </cell>
          <cell r="AI19">
            <v>1372.159090909091</v>
          </cell>
          <cell r="AN19">
            <v>17053.98</v>
          </cell>
          <cell r="AP19" t="str">
            <v>ok</v>
          </cell>
          <cell r="AQ19" t="str">
            <v>Divinagracia, Vince Angelo</v>
          </cell>
          <cell r="AR19">
            <v>0</v>
          </cell>
          <cell r="AS19">
            <v>675</v>
          </cell>
          <cell r="AU19">
            <v>100</v>
          </cell>
          <cell r="AX19">
            <v>225</v>
          </cell>
        </row>
        <row r="20">
          <cell r="A20" t="str">
            <v>Pelayo, Maila</v>
          </cell>
          <cell r="B20" t="str">
            <v>ok</v>
          </cell>
          <cell r="C20" t="str">
            <v>Pelayo, Maila</v>
          </cell>
          <cell r="D20">
            <v>9249537796</v>
          </cell>
          <cell r="E20">
            <v>15168.18</v>
          </cell>
          <cell r="F20">
            <v>15168.18</v>
          </cell>
          <cell r="G20">
            <v>30336.36</v>
          </cell>
          <cell r="H20">
            <v>0</v>
          </cell>
          <cell r="J20" t="str">
            <v>ok</v>
          </cell>
          <cell r="K20" t="str">
            <v>Pelayo, Maila</v>
          </cell>
          <cell r="L20">
            <v>31636.36</v>
          </cell>
          <cell r="M20">
            <v>1300</v>
          </cell>
          <cell r="N20">
            <v>900</v>
          </cell>
          <cell r="O20">
            <v>0</v>
          </cell>
          <cell r="P20">
            <v>100</v>
          </cell>
          <cell r="Q20">
            <v>0</v>
          </cell>
          <cell r="R20">
            <v>0</v>
          </cell>
          <cell r="S20">
            <v>300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15168.18</v>
          </cell>
          <cell r="Z20">
            <v>15168.17</v>
          </cell>
          <cell r="AA20">
            <v>30336.350000000002</v>
          </cell>
          <cell r="AE20" t="str">
            <v>ok</v>
          </cell>
          <cell r="AF20" t="str">
            <v>Pelayo, Maila</v>
          </cell>
          <cell r="AG20">
            <v>20000</v>
          </cell>
          <cell r="AH20">
            <v>909.09090909090912</v>
          </cell>
          <cell r="AI20">
            <v>1829.545454545455</v>
          </cell>
          <cell r="AK20">
            <v>8897.7272727272721</v>
          </cell>
          <cell r="AN20">
            <v>31636.36</v>
          </cell>
          <cell r="AP20" t="str">
            <v>ok</v>
          </cell>
          <cell r="AQ20" t="str">
            <v>Pelayo, Maila</v>
          </cell>
          <cell r="AR20">
            <v>0</v>
          </cell>
          <cell r="AS20">
            <v>900</v>
          </cell>
          <cell r="AU20">
            <v>100</v>
          </cell>
          <cell r="AX20">
            <v>300</v>
          </cell>
        </row>
        <row r="21">
          <cell r="A21" t="str">
            <v>Mulang, Kristine Alexis</v>
          </cell>
          <cell r="B21" t="str">
            <v>ok</v>
          </cell>
          <cell r="C21" t="str">
            <v>Mulang, Kristine Alexis</v>
          </cell>
          <cell r="D21">
            <v>9249537796</v>
          </cell>
          <cell r="E21">
            <v>8026.99</v>
          </cell>
          <cell r="F21">
            <v>8026.99</v>
          </cell>
          <cell r="G21">
            <v>16053.98</v>
          </cell>
          <cell r="H21">
            <v>0</v>
          </cell>
          <cell r="J21" t="str">
            <v>ok</v>
          </cell>
          <cell r="K21" t="str">
            <v>Mulang, Kristine Alexis</v>
          </cell>
          <cell r="L21">
            <v>17053.98</v>
          </cell>
          <cell r="M21">
            <v>1000</v>
          </cell>
          <cell r="N21">
            <v>675</v>
          </cell>
          <cell r="O21">
            <v>0</v>
          </cell>
          <cell r="P21">
            <v>100</v>
          </cell>
          <cell r="Q21">
            <v>0</v>
          </cell>
          <cell r="R21">
            <v>0</v>
          </cell>
          <cell r="S21">
            <v>225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8026.99</v>
          </cell>
          <cell r="Z21">
            <v>8026.98</v>
          </cell>
          <cell r="AA21">
            <v>16053.97</v>
          </cell>
          <cell r="AE21" t="str">
            <v>ok</v>
          </cell>
          <cell r="AF21" t="str">
            <v>Mulang, Kristine Alexis</v>
          </cell>
          <cell r="AG21">
            <v>15000</v>
          </cell>
          <cell r="AH21">
            <v>681.81818181818187</v>
          </cell>
          <cell r="AI21">
            <v>1372.159090909091</v>
          </cell>
          <cell r="AN21">
            <v>17053.98</v>
          </cell>
          <cell r="AP21" t="str">
            <v>ok</v>
          </cell>
          <cell r="AQ21" t="str">
            <v>Mulang, Kristine Alexis</v>
          </cell>
          <cell r="AR21">
            <v>0</v>
          </cell>
          <cell r="AS21">
            <v>675</v>
          </cell>
          <cell r="AU21">
            <v>100</v>
          </cell>
          <cell r="AX21">
            <v>225</v>
          </cell>
        </row>
        <row r="22">
          <cell r="A22" t="str">
            <v>Dalisay, Rona Amor</v>
          </cell>
          <cell r="B22" t="b">
            <v>0</v>
          </cell>
          <cell r="C22" t="str">
            <v>Rona Dalisay</v>
          </cell>
          <cell r="D22">
            <v>9249549042</v>
          </cell>
          <cell r="E22">
            <v>0</v>
          </cell>
          <cell r="F22">
            <v>33788.07</v>
          </cell>
          <cell r="G22">
            <v>33788.07</v>
          </cell>
          <cell r="H22">
            <v>0</v>
          </cell>
          <cell r="I22">
            <v>0</v>
          </cell>
          <cell r="J22" t="b">
            <v>0</v>
          </cell>
          <cell r="K22" t="str">
            <v>Rona Dalisay</v>
          </cell>
          <cell r="L22">
            <v>34968.07</v>
          </cell>
          <cell r="M22">
            <v>1180</v>
          </cell>
          <cell r="N22">
            <v>810</v>
          </cell>
          <cell r="O22">
            <v>0</v>
          </cell>
          <cell r="P22">
            <v>100</v>
          </cell>
          <cell r="Q22">
            <v>0</v>
          </cell>
          <cell r="R22">
            <v>0</v>
          </cell>
          <cell r="S22">
            <v>270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33788.06</v>
          </cell>
          <cell r="AA22">
            <v>33788.06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 t="str">
            <v>Rona Dalisay</v>
          </cell>
          <cell r="AG22">
            <v>18000</v>
          </cell>
          <cell r="AH22">
            <v>818.18181818181813</v>
          </cell>
          <cell r="AI22">
            <v>1646.5909090909092</v>
          </cell>
          <cell r="AJ22">
            <v>0</v>
          </cell>
          <cell r="AK22">
            <v>14503.3</v>
          </cell>
          <cell r="AL22">
            <v>0</v>
          </cell>
          <cell r="AM22">
            <v>0</v>
          </cell>
          <cell r="AN22">
            <v>34968.07</v>
          </cell>
          <cell r="AO22">
            <v>0</v>
          </cell>
          <cell r="AP22">
            <v>0</v>
          </cell>
          <cell r="AQ22" t="str">
            <v>Rona Dalisay</v>
          </cell>
          <cell r="AR22">
            <v>0</v>
          </cell>
          <cell r="AS22">
            <v>810</v>
          </cell>
          <cell r="AT22">
            <v>0</v>
          </cell>
          <cell r="AU22">
            <v>100</v>
          </cell>
          <cell r="AV22">
            <v>0</v>
          </cell>
          <cell r="AW22">
            <v>0</v>
          </cell>
          <cell r="AX22">
            <v>270</v>
          </cell>
          <cell r="AY22">
            <v>0</v>
          </cell>
        </row>
        <row r="23">
          <cell r="A23" t="str">
            <v xml:space="preserve">San Miguel, Genesse </v>
          </cell>
          <cell r="B23" t="str">
            <v>ok</v>
          </cell>
          <cell r="C23" t="str">
            <v xml:space="preserve">San Miguel, Genesse </v>
          </cell>
          <cell r="D23">
            <v>9249546051</v>
          </cell>
          <cell r="E23">
            <v>10719.32</v>
          </cell>
          <cell r="F23">
            <v>0</v>
          </cell>
          <cell r="G23">
            <v>10719.32</v>
          </cell>
          <cell r="H23">
            <v>0</v>
          </cell>
          <cell r="I23">
            <v>0</v>
          </cell>
          <cell r="J23" t="str">
            <v>ok</v>
          </cell>
          <cell r="K23" t="str">
            <v xml:space="preserve">San Miguel, Genesse </v>
          </cell>
          <cell r="L23">
            <v>22738.639999999999</v>
          </cell>
          <cell r="M23">
            <v>1300</v>
          </cell>
          <cell r="N23">
            <v>900</v>
          </cell>
          <cell r="O23">
            <v>0</v>
          </cell>
          <cell r="P23">
            <v>100</v>
          </cell>
          <cell r="Q23">
            <v>0</v>
          </cell>
          <cell r="R23">
            <v>0</v>
          </cell>
          <cell r="S23">
            <v>300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10719.32</v>
          </cell>
          <cell r="Z23">
            <v>0</v>
          </cell>
          <cell r="AA23">
            <v>10719.32</v>
          </cell>
          <cell r="AB23">
            <v>0</v>
          </cell>
          <cell r="AC23">
            <v>0</v>
          </cell>
          <cell r="AD23">
            <v>0</v>
          </cell>
          <cell r="AE23" t="str">
            <v>ok</v>
          </cell>
          <cell r="AF23" t="str">
            <v xml:space="preserve">San Miguel, Genesse </v>
          </cell>
          <cell r="AG23">
            <v>20000</v>
          </cell>
          <cell r="AH23">
            <v>909.09090909090912</v>
          </cell>
          <cell r="AI23">
            <v>1829.545454545455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22738.639999999999</v>
          </cell>
          <cell r="AO23">
            <v>0</v>
          </cell>
          <cell r="AP23" t="str">
            <v>ok</v>
          </cell>
          <cell r="AQ23" t="str">
            <v xml:space="preserve">San Miguel, Genesse </v>
          </cell>
          <cell r="AR23">
            <v>0</v>
          </cell>
          <cell r="AS23">
            <v>900</v>
          </cell>
          <cell r="AT23">
            <v>0</v>
          </cell>
          <cell r="AU23">
            <v>100</v>
          </cell>
          <cell r="AV23">
            <v>0</v>
          </cell>
          <cell r="AW23">
            <v>0</v>
          </cell>
          <cell r="AX23">
            <v>300</v>
          </cell>
          <cell r="AY23">
            <v>0</v>
          </cell>
        </row>
        <row r="24">
          <cell r="A24" t="str">
            <v>Colonia, Shiela</v>
          </cell>
          <cell r="B24" t="str">
            <v>ok</v>
          </cell>
          <cell r="C24" t="str">
            <v>Colonia, Shiela</v>
          </cell>
          <cell r="D24">
            <v>9249546043</v>
          </cell>
          <cell r="E24">
            <v>13219.32</v>
          </cell>
          <cell r="F24">
            <v>0</v>
          </cell>
          <cell r="G24">
            <v>13219.32</v>
          </cell>
          <cell r="H24">
            <v>0</v>
          </cell>
          <cell r="I24">
            <v>0</v>
          </cell>
          <cell r="J24" t="str">
            <v>ok</v>
          </cell>
          <cell r="K24" t="str">
            <v>Colonia, Shiela</v>
          </cell>
          <cell r="L24">
            <v>22738.639999999999</v>
          </cell>
          <cell r="M24">
            <v>1300</v>
          </cell>
          <cell r="N24">
            <v>900</v>
          </cell>
          <cell r="O24">
            <v>0</v>
          </cell>
          <cell r="P24">
            <v>100</v>
          </cell>
          <cell r="Q24">
            <v>0</v>
          </cell>
          <cell r="R24">
            <v>0</v>
          </cell>
          <cell r="S24">
            <v>300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5000</v>
          </cell>
          <cell r="Y24">
            <v>13219.32</v>
          </cell>
          <cell r="Z24">
            <v>0</v>
          </cell>
          <cell r="AA24">
            <v>13219.32</v>
          </cell>
          <cell r="AB24">
            <v>0</v>
          </cell>
          <cell r="AC24">
            <v>0</v>
          </cell>
          <cell r="AD24">
            <v>0</v>
          </cell>
          <cell r="AE24" t="str">
            <v>ok</v>
          </cell>
          <cell r="AF24" t="str">
            <v>Colonia, Shiela</v>
          </cell>
          <cell r="AG24">
            <v>20000</v>
          </cell>
          <cell r="AH24">
            <v>909.09090909090912</v>
          </cell>
          <cell r="AI24">
            <v>1829.545454545455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22738.639999999999</v>
          </cell>
          <cell r="AO24">
            <v>0</v>
          </cell>
          <cell r="AP24" t="str">
            <v>ok</v>
          </cell>
          <cell r="AQ24" t="str">
            <v>Colonia, Shiela</v>
          </cell>
          <cell r="AR24">
            <v>0</v>
          </cell>
          <cell r="AS24">
            <v>900</v>
          </cell>
          <cell r="AT24">
            <v>0</v>
          </cell>
          <cell r="AU24">
            <v>100</v>
          </cell>
          <cell r="AV24">
            <v>0</v>
          </cell>
          <cell r="AW24">
            <v>0</v>
          </cell>
          <cell r="AX24">
            <v>300</v>
          </cell>
          <cell r="AY24">
            <v>0</v>
          </cell>
        </row>
        <row r="25">
          <cell r="A25" t="str">
            <v>Aquit, April Rose</v>
          </cell>
          <cell r="B25" t="str">
            <v>ok</v>
          </cell>
          <cell r="C25" t="str">
            <v>Aquit, April Rose</v>
          </cell>
          <cell r="D25">
            <v>9249546108</v>
          </cell>
          <cell r="E25">
            <v>20719.32</v>
          </cell>
          <cell r="F25">
            <v>0</v>
          </cell>
          <cell r="G25">
            <v>20719.32</v>
          </cell>
          <cell r="H25">
            <v>0</v>
          </cell>
          <cell r="I25">
            <v>0</v>
          </cell>
          <cell r="J25" t="str">
            <v>ok</v>
          </cell>
          <cell r="K25" t="str">
            <v>Aquit, April Rose</v>
          </cell>
          <cell r="L25">
            <v>22738.639999999999</v>
          </cell>
          <cell r="M25">
            <v>1300</v>
          </cell>
          <cell r="N25">
            <v>900</v>
          </cell>
          <cell r="O25">
            <v>0</v>
          </cell>
          <cell r="P25">
            <v>100</v>
          </cell>
          <cell r="Q25">
            <v>0</v>
          </cell>
          <cell r="R25">
            <v>0</v>
          </cell>
          <cell r="S25">
            <v>300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20000</v>
          </cell>
          <cell r="Y25">
            <v>20719.32</v>
          </cell>
          <cell r="Z25">
            <v>0</v>
          </cell>
          <cell r="AA25">
            <v>20719.32</v>
          </cell>
          <cell r="AB25">
            <v>0</v>
          </cell>
          <cell r="AC25">
            <v>0</v>
          </cell>
          <cell r="AD25">
            <v>0</v>
          </cell>
          <cell r="AE25" t="str">
            <v>ok</v>
          </cell>
          <cell r="AF25" t="str">
            <v>Aquit, April Rose</v>
          </cell>
          <cell r="AG25">
            <v>20000</v>
          </cell>
          <cell r="AH25">
            <v>909.09090909090912</v>
          </cell>
          <cell r="AI25">
            <v>1829.545454545455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22738.639999999999</v>
          </cell>
          <cell r="AO25">
            <v>0</v>
          </cell>
          <cell r="AP25" t="str">
            <v>ok</v>
          </cell>
          <cell r="AQ25" t="str">
            <v>Aquit, April Rose</v>
          </cell>
          <cell r="AR25">
            <v>0</v>
          </cell>
          <cell r="AS25">
            <v>900</v>
          </cell>
          <cell r="AT25">
            <v>0</v>
          </cell>
          <cell r="AU25">
            <v>100</v>
          </cell>
          <cell r="AV25">
            <v>0</v>
          </cell>
          <cell r="AW25">
            <v>0</v>
          </cell>
          <cell r="AX25">
            <v>300</v>
          </cell>
          <cell r="AY25">
            <v>0</v>
          </cell>
        </row>
        <row r="26">
          <cell r="A26">
            <v>0</v>
          </cell>
          <cell r="C26">
            <v>0</v>
          </cell>
          <cell r="D26">
            <v>0</v>
          </cell>
          <cell r="K26">
            <v>0</v>
          </cell>
          <cell r="N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AG26">
            <v>0</v>
          </cell>
          <cell r="AN26">
            <v>0</v>
          </cell>
          <cell r="AQ26">
            <v>0</v>
          </cell>
          <cell r="AR26">
            <v>0</v>
          </cell>
        </row>
        <row r="27">
          <cell r="A27" t="str">
            <v>TOTAL</v>
          </cell>
          <cell r="B27">
            <v>0</v>
          </cell>
          <cell r="C27" t="str">
            <v>TOTAL</v>
          </cell>
          <cell r="D27">
            <v>0</v>
          </cell>
          <cell r="E27">
            <v>350027.95</v>
          </cell>
          <cell r="F27">
            <v>339158.04</v>
          </cell>
          <cell r="G27">
            <v>689185.98999999976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463449.37000000005</v>
          </cell>
          <cell r="M27">
            <v>42605.411255411258</v>
          </cell>
          <cell r="N27">
            <v>17325</v>
          </cell>
          <cell r="O27">
            <v>0</v>
          </cell>
          <cell r="P27">
            <v>2000</v>
          </cell>
          <cell r="Q27">
            <v>0</v>
          </cell>
          <cell r="R27">
            <v>0</v>
          </cell>
          <cell r="S27">
            <v>5775</v>
          </cell>
          <cell r="T27">
            <v>0</v>
          </cell>
          <cell r="U27">
            <v>9886.3636363636379</v>
          </cell>
          <cell r="V27">
            <v>7619.0476190476184</v>
          </cell>
          <cell r="W27">
            <v>0</v>
          </cell>
          <cell r="X27">
            <v>313000</v>
          </cell>
          <cell r="Y27">
            <v>350027.95</v>
          </cell>
          <cell r="Z27">
            <v>339157.98</v>
          </cell>
          <cell r="AA27">
            <v>689185.93874458864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 t="str">
            <v>TOTAL</v>
          </cell>
          <cell r="AG27">
            <v>385000</v>
          </cell>
          <cell r="AH27">
            <v>15681.818181818187</v>
          </cell>
          <cell r="AI27">
            <v>35218.750000000015</v>
          </cell>
          <cell r="AJ27">
            <v>4147.727272727273</v>
          </cell>
          <cell r="AK27">
            <v>23401.027272727271</v>
          </cell>
          <cell r="AL27">
            <v>0</v>
          </cell>
          <cell r="AM27">
            <v>0</v>
          </cell>
          <cell r="AN27">
            <v>463449.37000000005</v>
          </cell>
          <cell r="AO27">
            <v>0</v>
          </cell>
          <cell r="AP27">
            <v>0</v>
          </cell>
          <cell r="AQ27" t="str">
            <v>TOTAL</v>
          </cell>
          <cell r="AR27">
            <v>0</v>
          </cell>
          <cell r="AS27">
            <v>17325</v>
          </cell>
          <cell r="AT27">
            <v>0</v>
          </cell>
          <cell r="AU27">
            <v>2000</v>
          </cell>
          <cell r="AV27">
            <v>0</v>
          </cell>
          <cell r="AW27">
            <v>0</v>
          </cell>
          <cell r="AX27">
            <v>5775</v>
          </cell>
          <cell r="AY27">
            <v>0</v>
          </cell>
        </row>
        <row r="28">
          <cell r="A28">
            <v>20</v>
          </cell>
          <cell r="B28">
            <v>0</v>
          </cell>
          <cell r="C28">
            <v>0</v>
          </cell>
          <cell r="D28">
            <v>0</v>
          </cell>
          <cell r="E28">
            <v>350027.95</v>
          </cell>
          <cell r="F28">
            <v>339158.04</v>
          </cell>
          <cell r="G28">
            <v>689185.98999999976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463449.38000000006</v>
          </cell>
          <cell r="M28">
            <v>42605.4</v>
          </cell>
          <cell r="N28">
            <v>17325</v>
          </cell>
          <cell r="O28">
            <v>0</v>
          </cell>
          <cell r="P28">
            <v>2000</v>
          </cell>
          <cell r="Q28">
            <v>0</v>
          </cell>
          <cell r="R28">
            <v>0</v>
          </cell>
          <cell r="S28">
            <v>5775</v>
          </cell>
          <cell r="T28">
            <v>0</v>
          </cell>
          <cell r="U28">
            <v>9886.36</v>
          </cell>
          <cell r="V28">
            <v>7619.04</v>
          </cell>
          <cell r="W28">
            <v>0</v>
          </cell>
          <cell r="X28">
            <v>313000</v>
          </cell>
          <cell r="Y28">
            <v>350027.95</v>
          </cell>
          <cell r="Z28">
            <v>339158.04</v>
          </cell>
          <cell r="AA28">
            <v>689185.99999999977</v>
          </cell>
          <cell r="AB28">
            <v>0</v>
          </cell>
          <cell r="AC28">
            <v>0</v>
          </cell>
          <cell r="AE28">
            <v>0</v>
          </cell>
          <cell r="AF28">
            <v>0</v>
          </cell>
          <cell r="AG28">
            <v>385000</v>
          </cell>
          <cell r="AH28">
            <v>15681.818181818187</v>
          </cell>
          <cell r="AI28">
            <v>35218.750000000015</v>
          </cell>
          <cell r="AJ28">
            <v>4147.7199999999993</v>
          </cell>
          <cell r="AK28">
            <v>23401.03</v>
          </cell>
          <cell r="AL28">
            <v>0</v>
          </cell>
          <cell r="AM28">
            <v>0</v>
          </cell>
          <cell r="AN28">
            <v>463449.38000000006</v>
          </cell>
          <cell r="AP28">
            <v>0</v>
          </cell>
          <cell r="AQ28">
            <v>0</v>
          </cell>
          <cell r="AR28">
            <v>0</v>
          </cell>
          <cell r="AS28">
            <v>17325</v>
          </cell>
          <cell r="AT28">
            <v>0</v>
          </cell>
          <cell r="AU28">
            <v>2000</v>
          </cell>
          <cell r="AV28">
            <v>0</v>
          </cell>
          <cell r="AW28">
            <v>0</v>
          </cell>
          <cell r="AX28">
            <v>5775</v>
          </cell>
          <cell r="AY28">
            <v>0</v>
          </cell>
        </row>
        <row r="29">
          <cell r="B29">
            <v>0</v>
          </cell>
          <cell r="E29">
            <v>0</v>
          </cell>
          <cell r="F29">
            <v>0</v>
          </cell>
          <cell r="G29">
            <v>0</v>
          </cell>
          <cell r="J29">
            <v>0</v>
          </cell>
          <cell r="L29">
            <v>-1.0000000009313226E-2</v>
          </cell>
          <cell r="M29">
            <v>1.1255411256570369E-2</v>
          </cell>
          <cell r="N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  <cell r="U29">
            <v>3.6363636372698238E-3</v>
          </cell>
          <cell r="V29">
            <v>7.6190476183910505E-3</v>
          </cell>
          <cell r="W29">
            <v>0</v>
          </cell>
          <cell r="X29">
            <v>0</v>
          </cell>
          <cell r="Y29">
            <v>0</v>
          </cell>
          <cell r="Z29">
            <v>-5.9999999997671694E-2</v>
          </cell>
          <cell r="AA29">
            <v>-6.1255411128513515E-2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7.2727272736301529E-3</v>
          </cell>
          <cell r="AK29">
            <v>-2.7272727274976205E-3</v>
          </cell>
          <cell r="AL29">
            <v>0</v>
          </cell>
          <cell r="AM29">
            <v>0</v>
          </cell>
          <cell r="AN29">
            <v>-1.0000000009313226E-2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</row>
      </sheetData>
      <sheetData sheetId="9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</row>
        <row r="3">
          <cell r="A3" t="str">
            <v>Payroll Period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 t="str">
            <v>PAYROLL REGISTER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EARNINGS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 t="str">
            <v>DEDUCTION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</row>
        <row r="4">
          <cell r="A4">
            <v>44713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NAME</v>
          </cell>
          <cell r="C5" t="str">
            <v>EMPLOYEE'S NAME</v>
          </cell>
          <cell r="D5" t="str">
            <v>ACCOUNT NO.</v>
          </cell>
          <cell r="E5" t="str">
            <v>NET 15</v>
          </cell>
          <cell r="F5" t="str">
            <v>NET 30</v>
          </cell>
          <cell r="G5" t="str">
            <v>NET TOTAL</v>
          </cell>
          <cell r="H5">
            <v>0</v>
          </cell>
          <cell r="I5">
            <v>0</v>
          </cell>
          <cell r="K5">
            <v>0</v>
          </cell>
          <cell r="L5" t="str">
            <v>GROSSEARNINGS</v>
          </cell>
          <cell r="M5" t="str">
            <v>TOTAL DED'N.</v>
          </cell>
          <cell r="N5" t="str">
            <v>SSS CONT</v>
          </cell>
          <cell r="O5" t="str">
            <v>SSSLOAN</v>
          </cell>
          <cell r="P5" t="str">
            <v>HDMFCONT</v>
          </cell>
          <cell r="Q5">
            <v>0</v>
          </cell>
          <cell r="R5" t="str">
            <v>HDMFLOAN</v>
          </cell>
          <cell r="S5" t="str">
            <v>PHICCONT</v>
          </cell>
          <cell r="T5">
            <v>0</v>
          </cell>
          <cell r="U5" t="str">
            <v>OTHERDED'N.</v>
          </cell>
          <cell r="V5" t="str">
            <v>LWOP</v>
          </cell>
          <cell r="W5" t="str">
            <v>BASETAX</v>
          </cell>
          <cell r="X5" t="str">
            <v>ALLOWANCE</v>
          </cell>
          <cell r="Y5" t="str">
            <v>NET 15</v>
          </cell>
          <cell r="Z5" t="str">
            <v>NET 30</v>
          </cell>
          <cell r="AA5" t="str">
            <v>NET EARNINGS</v>
          </cell>
          <cell r="AB5">
            <v>0</v>
          </cell>
          <cell r="AC5">
            <v>0</v>
          </cell>
          <cell r="AF5" t="str">
            <v>NAME</v>
          </cell>
          <cell r="AG5" t="str">
            <v>BASIC RATE</v>
          </cell>
          <cell r="AH5" t="str">
            <v>HOLIDAY PAY</v>
          </cell>
          <cell r="AI5" t="str">
            <v>NIGHT DIFF</v>
          </cell>
          <cell r="AJ5" t="str">
            <v>OT PAY</v>
          </cell>
          <cell r="AK5" t="str">
            <v>OTHER ADDT'L.</v>
          </cell>
          <cell r="AL5" t="str">
            <v>ADJUSTMENT</v>
          </cell>
          <cell r="AN5" t="str">
            <v>GROSS EARNINGS</v>
          </cell>
          <cell r="AQ5" t="str">
            <v>NAME</v>
          </cell>
          <cell r="AS5" t="str">
            <v>SSS CONT</v>
          </cell>
          <cell r="AT5" t="str">
            <v>SSSLOAN</v>
          </cell>
          <cell r="AU5" t="str">
            <v>HDMFCONT</v>
          </cell>
          <cell r="AV5">
            <v>0</v>
          </cell>
          <cell r="AW5" t="str">
            <v>HDMFLOAN</v>
          </cell>
          <cell r="AX5" t="str">
            <v>PHICCONT</v>
          </cell>
          <cell r="AY5">
            <v>0</v>
          </cell>
        </row>
        <row r="6">
          <cell r="A6" t="str">
            <v>Dangoy, Albert John S.</v>
          </cell>
          <cell r="B6" t="str">
            <v>ok</v>
          </cell>
          <cell r="C6" t="str">
            <v>Dangoy, Albert John S.</v>
          </cell>
          <cell r="D6">
            <v>9249537869</v>
          </cell>
          <cell r="E6">
            <v>19987.88</v>
          </cell>
          <cell r="F6">
            <v>19987.87</v>
          </cell>
          <cell r="G6">
            <v>39975.75</v>
          </cell>
          <cell r="H6">
            <v>0</v>
          </cell>
          <cell r="J6" t="str">
            <v>ok</v>
          </cell>
          <cell r="K6" t="str">
            <v>Dangoy, Albert John S.</v>
          </cell>
          <cell r="L6">
            <v>21511.360000000001</v>
          </cell>
          <cell r="M6">
            <v>1535.6100000000001</v>
          </cell>
          <cell r="N6">
            <v>900</v>
          </cell>
          <cell r="O6">
            <v>0</v>
          </cell>
          <cell r="P6">
            <v>100</v>
          </cell>
          <cell r="Q6">
            <v>0</v>
          </cell>
          <cell r="R6">
            <v>0</v>
          </cell>
          <cell r="S6">
            <v>400</v>
          </cell>
          <cell r="T6">
            <v>0</v>
          </cell>
          <cell r="U6">
            <v>0</v>
          </cell>
          <cell r="V6">
            <v>0</v>
          </cell>
          <cell r="W6">
            <v>135.61000000000001</v>
          </cell>
          <cell r="X6">
            <v>20000</v>
          </cell>
          <cell r="Y6">
            <v>19987.88</v>
          </cell>
          <cell r="Z6">
            <v>19987.87</v>
          </cell>
          <cell r="AA6">
            <v>39975.75</v>
          </cell>
          <cell r="AE6" t="str">
            <v>ok</v>
          </cell>
          <cell r="AF6" t="str">
            <v>Dangoy, Albert John S.</v>
          </cell>
          <cell r="AG6">
            <v>20000</v>
          </cell>
          <cell r="AI6">
            <v>1511.3636363636365</v>
          </cell>
          <cell r="AN6">
            <v>21511.360000000001</v>
          </cell>
          <cell r="AP6" t="str">
            <v>ok</v>
          </cell>
          <cell r="AQ6" t="str">
            <v>Dangoy, Albert John S.</v>
          </cell>
          <cell r="AS6">
            <v>900</v>
          </cell>
          <cell r="AT6">
            <v>0</v>
          </cell>
          <cell r="AU6">
            <v>100</v>
          </cell>
          <cell r="AV6">
            <v>0</v>
          </cell>
          <cell r="AW6">
            <v>0</v>
          </cell>
          <cell r="AX6">
            <v>400</v>
          </cell>
          <cell r="AY6">
            <v>0</v>
          </cell>
        </row>
        <row r="7">
          <cell r="A7" t="str">
            <v>Salazar, Jim Tracy J.</v>
          </cell>
          <cell r="B7" t="str">
            <v>ok</v>
          </cell>
          <cell r="C7" t="str">
            <v>Salazar, Jim Tracy J.</v>
          </cell>
          <cell r="D7">
            <v>9249537761</v>
          </cell>
          <cell r="E7">
            <v>16065.15</v>
          </cell>
          <cell r="F7">
            <v>16383.34</v>
          </cell>
          <cell r="G7">
            <v>32448.49</v>
          </cell>
          <cell r="H7">
            <v>0</v>
          </cell>
          <cell r="J7" t="str">
            <v>ok</v>
          </cell>
          <cell r="K7" t="str">
            <v>Salazar, Jim Tracy J.</v>
          </cell>
          <cell r="L7">
            <v>21193.18</v>
          </cell>
          <cell r="M7">
            <v>8744.693636363636</v>
          </cell>
          <cell r="N7">
            <v>900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400</v>
          </cell>
          <cell r="T7">
            <v>0</v>
          </cell>
          <cell r="U7">
            <v>3636.3636363636365</v>
          </cell>
          <cell r="V7">
            <v>3636.36</v>
          </cell>
          <cell r="W7">
            <v>71.97</v>
          </cell>
          <cell r="X7">
            <v>20000</v>
          </cell>
          <cell r="Y7">
            <v>16065.15</v>
          </cell>
          <cell r="Z7">
            <v>16383.336363636367</v>
          </cell>
          <cell r="AA7">
            <v>32448.486363636366</v>
          </cell>
          <cell r="AE7" t="str">
            <v>ok</v>
          </cell>
          <cell r="AF7" t="str">
            <v>Salazar, Jim Tracy J.</v>
          </cell>
          <cell r="AG7">
            <v>20000</v>
          </cell>
          <cell r="AI7">
            <v>1193.1818181818185</v>
          </cell>
          <cell r="AN7">
            <v>21193.18</v>
          </cell>
          <cell r="AP7" t="str">
            <v>ok</v>
          </cell>
          <cell r="AQ7" t="str">
            <v>Salazar, Jim Tracy J.</v>
          </cell>
          <cell r="AS7">
            <v>900</v>
          </cell>
          <cell r="AT7">
            <v>0</v>
          </cell>
          <cell r="AU7">
            <v>100</v>
          </cell>
          <cell r="AV7">
            <v>0</v>
          </cell>
          <cell r="AW7">
            <v>0</v>
          </cell>
          <cell r="AX7">
            <v>400</v>
          </cell>
          <cell r="AY7">
            <v>0</v>
          </cell>
        </row>
        <row r="8">
          <cell r="A8" t="str">
            <v>Reveriza, Emmar T.</v>
          </cell>
          <cell r="B8" t="str">
            <v>ok</v>
          </cell>
          <cell r="C8" t="str">
            <v>Reveriza, Emmar T.</v>
          </cell>
          <cell r="D8">
            <v>9249537737</v>
          </cell>
          <cell r="E8">
            <v>50051.519999999997</v>
          </cell>
          <cell r="F8">
            <v>50051.51</v>
          </cell>
          <cell r="G8">
            <v>100103.03</v>
          </cell>
          <cell r="H8">
            <v>0</v>
          </cell>
          <cell r="J8" t="str">
            <v>ok</v>
          </cell>
          <cell r="K8" t="str">
            <v>Reveriza, Emmar T.</v>
          </cell>
          <cell r="L8">
            <v>21670.45</v>
          </cell>
          <cell r="M8">
            <v>1567.42</v>
          </cell>
          <cell r="N8">
            <v>900</v>
          </cell>
          <cell r="O8">
            <v>0</v>
          </cell>
          <cell r="P8">
            <v>100</v>
          </cell>
          <cell r="Q8">
            <v>0</v>
          </cell>
          <cell r="R8">
            <v>0</v>
          </cell>
          <cell r="S8">
            <v>400</v>
          </cell>
          <cell r="T8">
            <v>0</v>
          </cell>
          <cell r="U8">
            <v>0</v>
          </cell>
          <cell r="V8">
            <v>0</v>
          </cell>
          <cell r="W8">
            <v>167.42</v>
          </cell>
          <cell r="X8">
            <v>80000</v>
          </cell>
          <cell r="Y8">
            <v>50051.519999999997</v>
          </cell>
          <cell r="Z8">
            <v>50051.51</v>
          </cell>
          <cell r="AA8">
            <v>100103.03</v>
          </cell>
          <cell r="AE8" t="str">
            <v>ok</v>
          </cell>
          <cell r="AF8" t="str">
            <v>Reveriza, Emmar T.</v>
          </cell>
          <cell r="AG8">
            <v>20000</v>
          </cell>
          <cell r="AI8">
            <v>1670.4545454545457</v>
          </cell>
          <cell r="AN8">
            <v>21670.45</v>
          </cell>
          <cell r="AP8" t="str">
            <v>ok</v>
          </cell>
          <cell r="AQ8" t="str">
            <v>Reveriza, Emmar T.</v>
          </cell>
          <cell r="AS8">
            <v>900</v>
          </cell>
          <cell r="AT8">
            <v>0</v>
          </cell>
          <cell r="AU8">
            <v>100</v>
          </cell>
          <cell r="AV8">
            <v>0</v>
          </cell>
          <cell r="AW8">
            <v>0</v>
          </cell>
          <cell r="AX8">
            <v>400</v>
          </cell>
          <cell r="AY8">
            <v>0</v>
          </cell>
        </row>
        <row r="9">
          <cell r="A9" t="str">
            <v>Gulmatico, Joyce A.</v>
          </cell>
          <cell r="B9" t="str">
            <v>ok</v>
          </cell>
          <cell r="C9" t="str">
            <v>Gulmatico, Joyce A.</v>
          </cell>
          <cell r="D9">
            <v>9249537796</v>
          </cell>
          <cell r="E9">
            <v>35051.519999999997</v>
          </cell>
          <cell r="F9">
            <v>35051.51</v>
          </cell>
          <cell r="G9">
            <v>70103.03</v>
          </cell>
          <cell r="H9">
            <v>0</v>
          </cell>
          <cell r="J9" t="str">
            <v>ok</v>
          </cell>
          <cell r="K9" t="str">
            <v>Gulmatico, Joyce A.</v>
          </cell>
          <cell r="L9">
            <v>21670.45</v>
          </cell>
          <cell r="M9">
            <v>1567.42</v>
          </cell>
          <cell r="N9">
            <v>900</v>
          </cell>
          <cell r="O9">
            <v>0</v>
          </cell>
          <cell r="P9">
            <v>100</v>
          </cell>
          <cell r="Q9">
            <v>0</v>
          </cell>
          <cell r="R9">
            <v>0</v>
          </cell>
          <cell r="S9">
            <v>400</v>
          </cell>
          <cell r="T9">
            <v>0</v>
          </cell>
          <cell r="U9">
            <v>0</v>
          </cell>
          <cell r="V9">
            <v>0</v>
          </cell>
          <cell r="W9">
            <v>167.42</v>
          </cell>
          <cell r="X9">
            <v>50000</v>
          </cell>
          <cell r="Y9">
            <v>35051.519999999997</v>
          </cell>
          <cell r="Z9">
            <v>35051.51</v>
          </cell>
          <cell r="AA9">
            <v>70103.03</v>
          </cell>
          <cell r="AE9" t="str">
            <v>ok</v>
          </cell>
          <cell r="AF9" t="str">
            <v>Gulmatico, Joyce A.</v>
          </cell>
          <cell r="AG9">
            <v>20000</v>
          </cell>
          <cell r="AI9">
            <v>1670.4545454545457</v>
          </cell>
          <cell r="AN9">
            <v>21670.45</v>
          </cell>
          <cell r="AP9" t="str">
            <v>ok</v>
          </cell>
          <cell r="AQ9" t="str">
            <v>Gulmatico, Joyce A.</v>
          </cell>
          <cell r="AS9">
            <v>900</v>
          </cell>
          <cell r="AT9">
            <v>0</v>
          </cell>
          <cell r="AU9">
            <v>100</v>
          </cell>
          <cell r="AV9">
            <v>0</v>
          </cell>
          <cell r="AW9">
            <v>0</v>
          </cell>
          <cell r="AX9">
            <v>400</v>
          </cell>
          <cell r="AY9">
            <v>0</v>
          </cell>
        </row>
        <row r="10">
          <cell r="A10" t="str">
            <v>Manuel, Maria Fe M.</v>
          </cell>
          <cell r="B10" t="str">
            <v>ok</v>
          </cell>
          <cell r="C10" t="str">
            <v>Manuel, Maria Fe M.</v>
          </cell>
          <cell r="D10">
            <v>9249537788</v>
          </cell>
          <cell r="E10">
            <v>35051.519999999997</v>
          </cell>
          <cell r="F10">
            <v>35051.51</v>
          </cell>
          <cell r="G10">
            <v>70103.03</v>
          </cell>
          <cell r="H10">
            <v>0</v>
          </cell>
          <cell r="J10" t="str">
            <v>ok</v>
          </cell>
          <cell r="K10" t="str">
            <v>Manuel, Maria Fe M.</v>
          </cell>
          <cell r="L10">
            <v>21670.45</v>
          </cell>
          <cell r="M10">
            <v>1567.42</v>
          </cell>
          <cell r="N10">
            <v>900</v>
          </cell>
          <cell r="O10">
            <v>0</v>
          </cell>
          <cell r="P10">
            <v>100</v>
          </cell>
          <cell r="Q10">
            <v>0</v>
          </cell>
          <cell r="R10">
            <v>0</v>
          </cell>
          <cell r="S10">
            <v>400</v>
          </cell>
          <cell r="T10">
            <v>0</v>
          </cell>
          <cell r="U10">
            <v>0</v>
          </cell>
          <cell r="V10">
            <v>0</v>
          </cell>
          <cell r="W10">
            <v>167.42</v>
          </cell>
          <cell r="X10">
            <v>50000</v>
          </cell>
          <cell r="Y10">
            <v>35051.519999999997</v>
          </cell>
          <cell r="Z10">
            <v>35051.51</v>
          </cell>
          <cell r="AA10">
            <v>70103.03</v>
          </cell>
          <cell r="AE10" t="str">
            <v>ok</v>
          </cell>
          <cell r="AF10" t="str">
            <v>Manuel, Maria Fe M.</v>
          </cell>
          <cell r="AG10">
            <v>20000</v>
          </cell>
          <cell r="AI10">
            <v>1670.4545454545457</v>
          </cell>
          <cell r="AN10">
            <v>21670.45</v>
          </cell>
          <cell r="AP10" t="str">
            <v>ok</v>
          </cell>
          <cell r="AQ10" t="str">
            <v>Manuel, Maria Fe M.</v>
          </cell>
          <cell r="AS10">
            <v>900</v>
          </cell>
          <cell r="AT10">
            <v>0</v>
          </cell>
          <cell r="AU10">
            <v>100</v>
          </cell>
          <cell r="AV10">
            <v>0</v>
          </cell>
          <cell r="AW10">
            <v>0</v>
          </cell>
          <cell r="AX10">
            <v>400</v>
          </cell>
          <cell r="AY10">
            <v>0</v>
          </cell>
        </row>
        <row r="11">
          <cell r="A11" t="str">
            <v>Salveron, John V.</v>
          </cell>
          <cell r="B11" t="str">
            <v>ok</v>
          </cell>
          <cell r="C11" t="str">
            <v>Salveron, John V.</v>
          </cell>
          <cell r="D11">
            <v>9249537702</v>
          </cell>
          <cell r="E11">
            <v>13863.51</v>
          </cell>
          <cell r="F11">
            <v>17082.66</v>
          </cell>
          <cell r="G11">
            <v>30946.17</v>
          </cell>
          <cell r="H11">
            <v>0</v>
          </cell>
          <cell r="J11" t="str">
            <v>ok</v>
          </cell>
          <cell r="K11" t="str">
            <v>Salveron, John V.</v>
          </cell>
          <cell r="L11">
            <v>24889.61</v>
          </cell>
          <cell r="M11">
            <v>4193.4399999999996</v>
          </cell>
          <cell r="N11">
            <v>900</v>
          </cell>
          <cell r="O11">
            <v>0</v>
          </cell>
          <cell r="P11">
            <v>100</v>
          </cell>
          <cell r="Q11">
            <v>0</v>
          </cell>
          <cell r="R11">
            <v>2626.02</v>
          </cell>
          <cell r="S11">
            <v>400</v>
          </cell>
          <cell r="T11">
            <v>0</v>
          </cell>
          <cell r="U11">
            <v>0</v>
          </cell>
          <cell r="V11">
            <v>0</v>
          </cell>
          <cell r="W11">
            <v>167.42</v>
          </cell>
          <cell r="X11">
            <v>10250</v>
          </cell>
          <cell r="Y11">
            <v>13863.51</v>
          </cell>
          <cell r="Z11">
            <v>17082.660000000003</v>
          </cell>
          <cell r="AA11">
            <v>30946.170000000002</v>
          </cell>
          <cell r="AE11" t="str">
            <v>ok</v>
          </cell>
          <cell r="AF11" t="str">
            <v>Salveron, John V.</v>
          </cell>
          <cell r="AG11">
            <v>20000</v>
          </cell>
          <cell r="AI11">
            <v>1670.4545454545457</v>
          </cell>
          <cell r="AK11">
            <v>3219.16</v>
          </cell>
          <cell r="AN11">
            <v>24889.61</v>
          </cell>
          <cell r="AP11" t="str">
            <v>ok</v>
          </cell>
          <cell r="AQ11" t="str">
            <v>Salveron, John V.</v>
          </cell>
          <cell r="AS11">
            <v>900</v>
          </cell>
          <cell r="AT11">
            <v>0</v>
          </cell>
          <cell r="AU11">
            <v>100</v>
          </cell>
          <cell r="AV11">
            <v>0</v>
          </cell>
          <cell r="AW11">
            <v>2626.02</v>
          </cell>
          <cell r="AX11">
            <v>400</v>
          </cell>
          <cell r="AY11">
            <v>0</v>
          </cell>
        </row>
        <row r="12">
          <cell r="A12" t="str">
            <v>Mateo Jr., Romeo A.</v>
          </cell>
          <cell r="B12" t="str">
            <v>ok</v>
          </cell>
          <cell r="C12" t="str">
            <v>Mateo Jr., Romeo A.</v>
          </cell>
          <cell r="D12">
            <v>9249537877</v>
          </cell>
          <cell r="E12">
            <v>17551.52</v>
          </cell>
          <cell r="F12">
            <v>17551.509999999998</v>
          </cell>
          <cell r="G12">
            <v>35103.03</v>
          </cell>
          <cell r="H12">
            <v>0</v>
          </cell>
          <cell r="J12" t="str">
            <v>ok</v>
          </cell>
          <cell r="K12" t="str">
            <v>Mateo Jr., Romeo A.</v>
          </cell>
          <cell r="L12">
            <v>21670.45</v>
          </cell>
          <cell r="M12">
            <v>1567.42</v>
          </cell>
          <cell r="N12">
            <v>900</v>
          </cell>
          <cell r="O12">
            <v>0</v>
          </cell>
          <cell r="P12">
            <v>100</v>
          </cell>
          <cell r="Q12">
            <v>0</v>
          </cell>
          <cell r="R12">
            <v>0</v>
          </cell>
          <cell r="S12">
            <v>400</v>
          </cell>
          <cell r="T12">
            <v>0</v>
          </cell>
          <cell r="U12">
            <v>0</v>
          </cell>
          <cell r="V12">
            <v>0</v>
          </cell>
          <cell r="W12">
            <v>167.42</v>
          </cell>
          <cell r="X12">
            <v>15000</v>
          </cell>
          <cell r="Y12">
            <v>17551.52</v>
          </cell>
          <cell r="Z12">
            <v>17551.509999999998</v>
          </cell>
          <cell r="AA12">
            <v>35103.03</v>
          </cell>
          <cell r="AE12" t="str">
            <v>ok</v>
          </cell>
          <cell r="AF12" t="str">
            <v>Mateo Jr., Romeo A.</v>
          </cell>
          <cell r="AG12">
            <v>20000</v>
          </cell>
          <cell r="AI12">
            <v>1670.4545454545457</v>
          </cell>
          <cell r="AN12">
            <v>21670.45</v>
          </cell>
          <cell r="AP12" t="str">
            <v>ok</v>
          </cell>
          <cell r="AQ12" t="str">
            <v>Mateo Jr., Romeo A.</v>
          </cell>
          <cell r="AS12">
            <v>900</v>
          </cell>
          <cell r="AT12">
            <v>0</v>
          </cell>
          <cell r="AU12">
            <v>100</v>
          </cell>
          <cell r="AV12">
            <v>0</v>
          </cell>
          <cell r="AW12">
            <v>0</v>
          </cell>
          <cell r="AX12">
            <v>400</v>
          </cell>
          <cell r="AY12">
            <v>0</v>
          </cell>
        </row>
        <row r="13">
          <cell r="A13" t="str">
            <v>Villaruz, Roger C.</v>
          </cell>
          <cell r="B13" t="str">
            <v>ok</v>
          </cell>
          <cell r="C13" t="str">
            <v>Villaruz, Roger C.</v>
          </cell>
          <cell r="D13">
            <v>9249537729</v>
          </cell>
          <cell r="E13">
            <v>17551.52</v>
          </cell>
          <cell r="F13">
            <v>17551.509999999998</v>
          </cell>
          <cell r="G13">
            <v>35103.03</v>
          </cell>
          <cell r="H13">
            <v>0</v>
          </cell>
          <cell r="J13" t="str">
            <v>ok</v>
          </cell>
          <cell r="K13" t="str">
            <v>Villaruz, Roger C.</v>
          </cell>
          <cell r="L13">
            <v>21670.45</v>
          </cell>
          <cell r="M13">
            <v>1567.42</v>
          </cell>
          <cell r="N13">
            <v>900</v>
          </cell>
          <cell r="O13">
            <v>0</v>
          </cell>
          <cell r="P13">
            <v>100</v>
          </cell>
          <cell r="Q13">
            <v>0</v>
          </cell>
          <cell r="R13">
            <v>0</v>
          </cell>
          <cell r="S13">
            <v>400</v>
          </cell>
          <cell r="T13">
            <v>0</v>
          </cell>
          <cell r="U13">
            <v>0</v>
          </cell>
          <cell r="V13">
            <v>0</v>
          </cell>
          <cell r="W13">
            <v>167.42</v>
          </cell>
          <cell r="X13">
            <v>15000</v>
          </cell>
          <cell r="Y13">
            <v>17551.52</v>
          </cell>
          <cell r="Z13">
            <v>17551.509999999998</v>
          </cell>
          <cell r="AA13">
            <v>35103.03</v>
          </cell>
          <cell r="AE13" t="str">
            <v>ok</v>
          </cell>
          <cell r="AF13" t="str">
            <v>Villaruz, Roger C.</v>
          </cell>
          <cell r="AG13">
            <v>20000</v>
          </cell>
          <cell r="AI13">
            <v>1670.4545454545457</v>
          </cell>
          <cell r="AN13">
            <v>21670.45</v>
          </cell>
          <cell r="AP13" t="str">
            <v>ok</v>
          </cell>
          <cell r="AQ13" t="str">
            <v>Villaruz, Roger C.</v>
          </cell>
          <cell r="AS13">
            <v>900</v>
          </cell>
          <cell r="AT13">
            <v>0</v>
          </cell>
          <cell r="AU13">
            <v>100</v>
          </cell>
          <cell r="AV13">
            <v>0</v>
          </cell>
          <cell r="AW13">
            <v>0</v>
          </cell>
          <cell r="AX13">
            <v>400</v>
          </cell>
          <cell r="AY13">
            <v>0</v>
          </cell>
        </row>
        <row r="14">
          <cell r="A14" t="str">
            <v>Alinsangan, Mary Hannah</v>
          </cell>
          <cell r="B14" t="str">
            <v>ok</v>
          </cell>
          <cell r="C14" t="str">
            <v>Alinsangan, Mary Hannah</v>
          </cell>
          <cell r="D14">
            <v>9249539462</v>
          </cell>
          <cell r="E14">
            <v>10622.19</v>
          </cell>
          <cell r="F14">
            <v>11215.38</v>
          </cell>
          <cell r="G14">
            <v>21837.57</v>
          </cell>
          <cell r="H14">
            <v>0</v>
          </cell>
          <cell r="J14" t="str">
            <v>ok</v>
          </cell>
          <cell r="K14" t="str">
            <v>Alinsangan, Mary Hannah</v>
          </cell>
          <cell r="L14">
            <v>23609.09</v>
          </cell>
          <cell r="M14">
            <v>1771.52</v>
          </cell>
          <cell r="N14">
            <v>855</v>
          </cell>
          <cell r="O14">
            <v>0</v>
          </cell>
          <cell r="P14">
            <v>100</v>
          </cell>
          <cell r="Q14">
            <v>0</v>
          </cell>
          <cell r="R14">
            <v>0</v>
          </cell>
          <cell r="S14">
            <v>380</v>
          </cell>
          <cell r="T14">
            <v>0</v>
          </cell>
          <cell r="U14">
            <v>0</v>
          </cell>
          <cell r="V14">
            <v>0</v>
          </cell>
          <cell r="W14">
            <v>436.52</v>
          </cell>
          <cell r="X14">
            <v>0</v>
          </cell>
          <cell r="Y14">
            <v>10622.19</v>
          </cell>
          <cell r="Z14">
            <v>11215.38</v>
          </cell>
          <cell r="AA14">
            <v>21837.57</v>
          </cell>
          <cell r="AE14" t="str">
            <v>ok</v>
          </cell>
          <cell r="AF14" t="str">
            <v>Alinsangan, Mary Hannah</v>
          </cell>
          <cell r="AG14">
            <v>19000</v>
          </cell>
          <cell r="AI14">
            <v>1586.9318181818185</v>
          </cell>
          <cell r="AJ14">
            <v>2428.9772727272725</v>
          </cell>
          <cell r="AK14">
            <v>593.17999999999995</v>
          </cell>
          <cell r="AN14">
            <v>23609.09</v>
          </cell>
          <cell r="AP14" t="str">
            <v>ok</v>
          </cell>
          <cell r="AQ14" t="str">
            <v>Alinsangan, Mary Hannah</v>
          </cell>
          <cell r="AS14">
            <v>855</v>
          </cell>
          <cell r="AT14">
            <v>0</v>
          </cell>
          <cell r="AU14">
            <v>100</v>
          </cell>
          <cell r="AV14">
            <v>0</v>
          </cell>
          <cell r="AW14">
            <v>0</v>
          </cell>
          <cell r="AX14">
            <v>380</v>
          </cell>
          <cell r="AY14">
            <v>0</v>
          </cell>
        </row>
        <row r="15">
          <cell r="A15" t="str">
            <v>Guinanao, Jelyn</v>
          </cell>
          <cell r="B15" t="str">
            <v>ok</v>
          </cell>
          <cell r="C15" t="str">
            <v>Guinanao, Jelyn</v>
          </cell>
          <cell r="D15">
            <v>9249541513</v>
          </cell>
          <cell r="E15">
            <v>11430.96</v>
          </cell>
          <cell r="F15">
            <v>11430.96</v>
          </cell>
          <cell r="G15">
            <v>22861.919999999998</v>
          </cell>
          <cell r="H15">
            <v>0</v>
          </cell>
          <cell r="J15" t="str">
            <v>ok</v>
          </cell>
          <cell r="K15" t="str">
            <v>Guinanao, Jelyn</v>
          </cell>
          <cell r="L15">
            <v>24795.45</v>
          </cell>
          <cell r="M15">
            <v>4933.53</v>
          </cell>
          <cell r="N15">
            <v>900</v>
          </cell>
          <cell r="O15">
            <v>979.49</v>
          </cell>
          <cell r="P15">
            <v>100</v>
          </cell>
          <cell r="Q15">
            <v>0</v>
          </cell>
          <cell r="R15">
            <v>1761.62</v>
          </cell>
          <cell r="S15">
            <v>400</v>
          </cell>
          <cell r="T15">
            <v>0</v>
          </cell>
          <cell r="U15">
            <v>0</v>
          </cell>
          <cell r="V15">
            <v>0</v>
          </cell>
          <cell r="W15">
            <v>792.42</v>
          </cell>
          <cell r="X15">
            <v>3000</v>
          </cell>
          <cell r="Y15">
            <v>11430.96</v>
          </cell>
          <cell r="Z15">
            <v>11430.960000000003</v>
          </cell>
          <cell r="AA15">
            <v>22861.920000000002</v>
          </cell>
          <cell r="AE15" t="str">
            <v>ok</v>
          </cell>
          <cell r="AF15" t="str">
            <v>Guinanao, Jelyn</v>
          </cell>
          <cell r="AG15">
            <v>20000</v>
          </cell>
          <cell r="AI15">
            <v>1670.4545454545457</v>
          </cell>
          <cell r="AJ15">
            <v>3125.0000000000005</v>
          </cell>
          <cell r="AN15">
            <v>24795.45</v>
          </cell>
          <cell r="AP15" t="str">
            <v>ok</v>
          </cell>
          <cell r="AQ15" t="str">
            <v>Guinanao, Jelyn</v>
          </cell>
          <cell r="AR15">
            <v>0</v>
          </cell>
          <cell r="AS15">
            <v>900</v>
          </cell>
          <cell r="AT15">
            <v>979.49</v>
          </cell>
          <cell r="AU15">
            <v>100</v>
          </cell>
          <cell r="AW15">
            <v>1761.62</v>
          </cell>
          <cell r="AX15">
            <v>400</v>
          </cell>
        </row>
        <row r="16">
          <cell r="A16" t="str">
            <v>Buño, Ernesto Jr</v>
          </cell>
          <cell r="B16" t="str">
            <v>ok</v>
          </cell>
          <cell r="C16" t="str">
            <v>Buño, Ernesto Jr</v>
          </cell>
          <cell r="D16">
            <v>9249526662</v>
          </cell>
          <cell r="E16">
            <v>22025.38</v>
          </cell>
          <cell r="F16">
            <v>22104.92</v>
          </cell>
          <cell r="G16">
            <v>44130.3</v>
          </cell>
          <cell r="H16">
            <v>0</v>
          </cell>
          <cell r="J16" t="str">
            <v>ok</v>
          </cell>
          <cell r="K16" t="str">
            <v>Buño, Ernesto Jr</v>
          </cell>
          <cell r="L16">
            <v>21590.91</v>
          </cell>
          <cell r="M16">
            <v>2460.61</v>
          </cell>
          <cell r="N16">
            <v>900</v>
          </cell>
          <cell r="O16">
            <v>0</v>
          </cell>
          <cell r="P16">
            <v>100</v>
          </cell>
          <cell r="Q16">
            <v>0</v>
          </cell>
          <cell r="R16">
            <v>0</v>
          </cell>
          <cell r="S16">
            <v>400</v>
          </cell>
          <cell r="T16">
            <v>0</v>
          </cell>
          <cell r="U16">
            <v>0</v>
          </cell>
          <cell r="V16">
            <v>909.09</v>
          </cell>
          <cell r="W16">
            <v>151.52000000000001</v>
          </cell>
          <cell r="X16">
            <v>25000</v>
          </cell>
          <cell r="Y16">
            <v>22025.38</v>
          </cell>
          <cell r="Z16">
            <v>22104.91</v>
          </cell>
          <cell r="AA16">
            <v>44130.29</v>
          </cell>
          <cell r="AE16" t="str">
            <v>ok</v>
          </cell>
          <cell r="AF16" t="str">
            <v>Buño, Ernesto Jr</v>
          </cell>
          <cell r="AG16">
            <v>20000</v>
          </cell>
          <cell r="AI16">
            <v>1590.9090909090912</v>
          </cell>
          <cell r="AN16">
            <v>21590.91</v>
          </cell>
          <cell r="AP16" t="str">
            <v>ok</v>
          </cell>
          <cell r="AQ16" t="str">
            <v>Buño, Ernesto Jr</v>
          </cell>
          <cell r="AR16">
            <v>0</v>
          </cell>
          <cell r="AS16">
            <v>900</v>
          </cell>
          <cell r="AU16">
            <v>100</v>
          </cell>
          <cell r="AX16">
            <v>400</v>
          </cell>
        </row>
        <row r="17">
          <cell r="A17" t="str">
            <v>Panganiban, Janine</v>
          </cell>
          <cell r="B17" t="str">
            <v>ok</v>
          </cell>
          <cell r="C17" t="str">
            <v>Panganiban, Janine</v>
          </cell>
          <cell r="D17">
            <v>9249547155</v>
          </cell>
          <cell r="E17">
            <v>10189.880000000001</v>
          </cell>
          <cell r="F17">
            <v>10189.870000000001</v>
          </cell>
          <cell r="G17">
            <v>20379.75</v>
          </cell>
          <cell r="H17">
            <v>0</v>
          </cell>
          <cell r="J17" t="str">
            <v>ok</v>
          </cell>
          <cell r="K17" t="str">
            <v>Panganiban, Janine</v>
          </cell>
          <cell r="L17">
            <v>21670.45</v>
          </cell>
          <cell r="M17">
            <v>3290.7</v>
          </cell>
          <cell r="N17">
            <v>900</v>
          </cell>
          <cell r="O17">
            <v>1723.28</v>
          </cell>
          <cell r="P17">
            <v>100</v>
          </cell>
          <cell r="Q17">
            <v>0</v>
          </cell>
          <cell r="R17">
            <v>0</v>
          </cell>
          <cell r="S17">
            <v>400</v>
          </cell>
          <cell r="T17">
            <v>0</v>
          </cell>
          <cell r="U17">
            <v>0</v>
          </cell>
          <cell r="V17">
            <v>0</v>
          </cell>
          <cell r="W17">
            <v>167.42</v>
          </cell>
          <cell r="X17">
            <v>2000</v>
          </cell>
          <cell r="Y17">
            <v>10189.870000000001</v>
          </cell>
          <cell r="Z17">
            <v>10189.870000000001</v>
          </cell>
          <cell r="AA17">
            <v>20379.740000000002</v>
          </cell>
          <cell r="AE17" t="str">
            <v>ok</v>
          </cell>
          <cell r="AF17" t="str">
            <v>Panganiban, Janine</v>
          </cell>
          <cell r="AG17">
            <v>20000</v>
          </cell>
          <cell r="AI17">
            <v>1670.4545454545457</v>
          </cell>
          <cell r="AN17">
            <v>21670.45</v>
          </cell>
          <cell r="AP17" t="str">
            <v>ok</v>
          </cell>
          <cell r="AQ17" t="str">
            <v>Panganiban, Janine</v>
          </cell>
          <cell r="AR17">
            <v>0</v>
          </cell>
          <cell r="AS17">
            <v>900</v>
          </cell>
          <cell r="AT17">
            <v>1723.28</v>
          </cell>
          <cell r="AU17">
            <v>100</v>
          </cell>
          <cell r="AX17">
            <v>400</v>
          </cell>
        </row>
        <row r="18">
          <cell r="A18" t="str">
            <v>Divinagracia, Vince Angelo</v>
          </cell>
          <cell r="B18" t="str">
            <v>ok</v>
          </cell>
          <cell r="C18" t="str">
            <v>Divinagracia, Vince Angelo</v>
          </cell>
          <cell r="D18">
            <v>9249548585</v>
          </cell>
          <cell r="E18">
            <v>6847.44</v>
          </cell>
          <cell r="F18">
            <v>6847.46</v>
          </cell>
          <cell r="G18">
            <v>13694.9</v>
          </cell>
          <cell r="H18">
            <v>0</v>
          </cell>
          <cell r="J18" t="str">
            <v>ok</v>
          </cell>
          <cell r="K18" t="str">
            <v>Divinagracia, Vince Angelo</v>
          </cell>
          <cell r="L18">
            <v>16252.84</v>
          </cell>
          <cell r="M18">
            <v>2557.9545454545455</v>
          </cell>
          <cell r="N18">
            <v>675</v>
          </cell>
          <cell r="O18">
            <v>0</v>
          </cell>
          <cell r="P18">
            <v>100</v>
          </cell>
          <cell r="Q18">
            <v>0</v>
          </cell>
          <cell r="R18">
            <v>0</v>
          </cell>
          <cell r="S18">
            <v>300</v>
          </cell>
          <cell r="T18">
            <v>0</v>
          </cell>
          <cell r="U18">
            <v>0</v>
          </cell>
          <cell r="V18">
            <v>1482.9545454545455</v>
          </cell>
          <cell r="W18">
            <v>0</v>
          </cell>
          <cell r="X18">
            <v>0</v>
          </cell>
          <cell r="Y18">
            <v>6847.44</v>
          </cell>
          <cell r="Z18">
            <v>6847.4354545454544</v>
          </cell>
          <cell r="AA18">
            <v>13694.875454545454</v>
          </cell>
          <cell r="AE18" t="str">
            <v>ok</v>
          </cell>
          <cell r="AF18" t="str">
            <v>Divinagracia, Vince Angelo</v>
          </cell>
          <cell r="AG18">
            <v>15000</v>
          </cell>
          <cell r="AI18">
            <v>1252.8409090909092</v>
          </cell>
          <cell r="AN18">
            <v>16252.84</v>
          </cell>
          <cell r="AP18" t="str">
            <v>ok</v>
          </cell>
          <cell r="AQ18" t="str">
            <v>Divinagracia, Vince Angelo</v>
          </cell>
          <cell r="AR18">
            <v>0</v>
          </cell>
          <cell r="AS18">
            <v>675</v>
          </cell>
          <cell r="AU18">
            <v>100</v>
          </cell>
          <cell r="AX18">
            <v>300</v>
          </cell>
        </row>
        <row r="19">
          <cell r="A19" t="str">
            <v>Pelayo, Maila</v>
          </cell>
          <cell r="B19" t="str">
            <v>ok</v>
          </cell>
          <cell r="C19" t="str">
            <v>Pelayo, Maila</v>
          </cell>
          <cell r="D19">
            <v>9249537796</v>
          </cell>
          <cell r="E19">
            <v>10051.52</v>
          </cell>
          <cell r="F19">
            <v>10051.51</v>
          </cell>
          <cell r="G19">
            <v>20103.03</v>
          </cell>
          <cell r="H19">
            <v>0</v>
          </cell>
          <cell r="J19" t="str">
            <v>ok</v>
          </cell>
          <cell r="K19" t="str">
            <v>Pelayo, Maila</v>
          </cell>
          <cell r="L19">
            <v>21670.45</v>
          </cell>
          <cell r="M19">
            <v>1567.42</v>
          </cell>
          <cell r="N19">
            <v>900</v>
          </cell>
          <cell r="O19">
            <v>0</v>
          </cell>
          <cell r="P19">
            <v>100</v>
          </cell>
          <cell r="Q19">
            <v>0</v>
          </cell>
          <cell r="R19">
            <v>0</v>
          </cell>
          <cell r="S19">
            <v>400</v>
          </cell>
          <cell r="T19">
            <v>0</v>
          </cell>
          <cell r="U19">
            <v>0</v>
          </cell>
          <cell r="V19">
            <v>0</v>
          </cell>
          <cell r="W19">
            <v>167.42</v>
          </cell>
          <cell r="X19">
            <v>0</v>
          </cell>
          <cell r="Y19">
            <v>10051.51</v>
          </cell>
          <cell r="Z19">
            <v>10051.51</v>
          </cell>
          <cell r="AA19">
            <v>20103.02</v>
          </cell>
          <cell r="AE19" t="str">
            <v>ok</v>
          </cell>
          <cell r="AF19" t="str">
            <v>Pelayo, Maila</v>
          </cell>
          <cell r="AG19">
            <v>20000</v>
          </cell>
          <cell r="AI19">
            <v>1670.4545454545457</v>
          </cell>
          <cell r="AN19">
            <v>21670.45</v>
          </cell>
          <cell r="AP19" t="str">
            <v>ok</v>
          </cell>
          <cell r="AQ19" t="str">
            <v>Pelayo, Maila</v>
          </cell>
          <cell r="AR19">
            <v>0</v>
          </cell>
          <cell r="AS19">
            <v>900</v>
          </cell>
          <cell r="AU19">
            <v>100</v>
          </cell>
          <cell r="AX19">
            <v>400</v>
          </cell>
        </row>
        <row r="20">
          <cell r="A20" t="str">
            <v>Mulang, Kristine Alexis</v>
          </cell>
          <cell r="B20" t="str">
            <v>ok</v>
          </cell>
          <cell r="C20" t="str">
            <v>Mulang, Kristine Alexis</v>
          </cell>
          <cell r="D20">
            <v>9249537796</v>
          </cell>
          <cell r="E20">
            <v>6847.44</v>
          </cell>
          <cell r="F20">
            <v>6847.46</v>
          </cell>
          <cell r="G20">
            <v>13694.9</v>
          </cell>
          <cell r="H20">
            <v>0</v>
          </cell>
          <cell r="J20" t="str">
            <v>ok</v>
          </cell>
          <cell r="K20" t="str">
            <v>Mulang, Kristine Alexis</v>
          </cell>
          <cell r="L20">
            <v>16252.84</v>
          </cell>
          <cell r="M20">
            <v>2557.9545454545455</v>
          </cell>
          <cell r="N20">
            <v>675</v>
          </cell>
          <cell r="O20">
            <v>0</v>
          </cell>
          <cell r="P20">
            <v>100</v>
          </cell>
          <cell r="Q20">
            <v>0</v>
          </cell>
          <cell r="R20">
            <v>0</v>
          </cell>
          <cell r="S20">
            <v>300</v>
          </cell>
          <cell r="T20">
            <v>0</v>
          </cell>
          <cell r="U20">
            <v>0</v>
          </cell>
          <cell r="V20">
            <v>1482.9545454545455</v>
          </cell>
          <cell r="W20">
            <v>0</v>
          </cell>
          <cell r="X20">
            <v>0</v>
          </cell>
          <cell r="Y20">
            <v>6847.44</v>
          </cell>
          <cell r="Z20">
            <v>6847.4354545454544</v>
          </cell>
          <cell r="AA20">
            <v>13694.875454545454</v>
          </cell>
          <cell r="AE20" t="str">
            <v>ok</v>
          </cell>
          <cell r="AF20" t="str">
            <v>Mulang, Kristine Alexis</v>
          </cell>
          <cell r="AG20">
            <v>15000</v>
          </cell>
          <cell r="AI20">
            <v>1252.8409090909092</v>
          </cell>
          <cell r="AN20">
            <v>16252.84</v>
          </cell>
          <cell r="AP20" t="str">
            <v>ok</v>
          </cell>
          <cell r="AQ20" t="str">
            <v>Mulang, Kristine Alexis</v>
          </cell>
          <cell r="AR20">
            <v>0</v>
          </cell>
          <cell r="AS20">
            <v>675</v>
          </cell>
          <cell r="AU20">
            <v>100</v>
          </cell>
          <cell r="AX20">
            <v>300</v>
          </cell>
        </row>
        <row r="21">
          <cell r="A21" t="str">
            <v>Dalisay, Rona Amor</v>
          </cell>
          <cell r="B21" t="str">
            <v>ok</v>
          </cell>
          <cell r="C21" t="str">
            <v>Dalisay, Rona Amor</v>
          </cell>
          <cell r="D21">
            <v>9249549042</v>
          </cell>
          <cell r="E21">
            <v>9116.7000000000007</v>
          </cell>
          <cell r="F21">
            <v>9116.7100000000009</v>
          </cell>
          <cell r="G21">
            <v>18233.41</v>
          </cell>
          <cell r="H21">
            <v>0</v>
          </cell>
          <cell r="I21">
            <v>0</v>
          </cell>
          <cell r="J21" t="str">
            <v>ok</v>
          </cell>
          <cell r="K21" t="str">
            <v>Dalisay, Rona Amor</v>
          </cell>
          <cell r="L21">
            <v>19503.41</v>
          </cell>
          <cell r="M21">
            <v>1270</v>
          </cell>
          <cell r="N21">
            <v>810</v>
          </cell>
          <cell r="O21">
            <v>0</v>
          </cell>
          <cell r="P21">
            <v>100</v>
          </cell>
          <cell r="Q21">
            <v>0</v>
          </cell>
          <cell r="R21">
            <v>0</v>
          </cell>
          <cell r="S21">
            <v>360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9116.7000000000007</v>
          </cell>
          <cell r="Z21">
            <v>9116.7000000000007</v>
          </cell>
          <cell r="AA21">
            <v>18233.400000000001</v>
          </cell>
          <cell r="AB21">
            <v>0</v>
          </cell>
          <cell r="AC21">
            <v>0</v>
          </cell>
          <cell r="AD21">
            <v>0</v>
          </cell>
          <cell r="AE21" t="str">
            <v>ok</v>
          </cell>
          <cell r="AF21" t="str">
            <v>Dalisay, Rona Amor</v>
          </cell>
          <cell r="AG21">
            <v>18000</v>
          </cell>
          <cell r="AH21">
            <v>0</v>
          </cell>
          <cell r="AI21">
            <v>1503.409090909091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19503.41</v>
          </cell>
          <cell r="AO21">
            <v>0</v>
          </cell>
          <cell r="AP21" t="str">
            <v>ok</v>
          </cell>
          <cell r="AQ21" t="str">
            <v>Dalisay, Rona Amor</v>
          </cell>
          <cell r="AR21">
            <v>0</v>
          </cell>
          <cell r="AS21">
            <v>810</v>
          </cell>
          <cell r="AT21">
            <v>0</v>
          </cell>
          <cell r="AU21">
            <v>100</v>
          </cell>
          <cell r="AV21">
            <v>0</v>
          </cell>
          <cell r="AW21">
            <v>0</v>
          </cell>
          <cell r="AX21">
            <v>360</v>
          </cell>
          <cell r="AY21">
            <v>0</v>
          </cell>
        </row>
        <row r="22">
          <cell r="A22" t="str">
            <v>Billones, Angelo</v>
          </cell>
          <cell r="B22" t="str">
            <v>ok</v>
          </cell>
          <cell r="C22" t="str">
            <v>Billones, Angelo</v>
          </cell>
          <cell r="D22">
            <v>9249553171</v>
          </cell>
          <cell r="E22">
            <v>15517.43</v>
          </cell>
          <cell r="F22">
            <v>15517.42</v>
          </cell>
          <cell r="G22">
            <v>31034.85</v>
          </cell>
          <cell r="H22">
            <v>0</v>
          </cell>
          <cell r="I22">
            <v>0</v>
          </cell>
          <cell r="J22" t="str">
            <v>ok</v>
          </cell>
          <cell r="K22" t="str">
            <v>Billones, Angelo</v>
          </cell>
          <cell r="L22">
            <v>27602.27</v>
          </cell>
          <cell r="M22">
            <v>1567.42</v>
          </cell>
          <cell r="N22">
            <v>900</v>
          </cell>
          <cell r="O22">
            <v>0</v>
          </cell>
          <cell r="P22">
            <v>100</v>
          </cell>
          <cell r="Q22">
            <v>0</v>
          </cell>
          <cell r="R22">
            <v>0</v>
          </cell>
          <cell r="S22">
            <v>400</v>
          </cell>
          <cell r="T22">
            <v>0</v>
          </cell>
          <cell r="U22">
            <v>0</v>
          </cell>
          <cell r="V22">
            <v>0</v>
          </cell>
          <cell r="W22">
            <v>167.42</v>
          </cell>
          <cell r="X22">
            <v>5000</v>
          </cell>
          <cell r="Y22">
            <v>15517.42</v>
          </cell>
          <cell r="Z22">
            <v>15517.42</v>
          </cell>
          <cell r="AA22">
            <v>31034.84</v>
          </cell>
          <cell r="AB22">
            <v>0</v>
          </cell>
          <cell r="AC22">
            <v>0</v>
          </cell>
          <cell r="AD22">
            <v>0</v>
          </cell>
          <cell r="AE22" t="str">
            <v>ok</v>
          </cell>
          <cell r="AF22" t="str">
            <v>Billones, Angelo</v>
          </cell>
          <cell r="AG22">
            <v>20000</v>
          </cell>
          <cell r="AH22">
            <v>0</v>
          </cell>
          <cell r="AI22">
            <v>1670.4545454545457</v>
          </cell>
          <cell r="AJ22">
            <v>0</v>
          </cell>
          <cell r="AK22">
            <v>5931.8181818181811</v>
          </cell>
          <cell r="AL22">
            <v>0</v>
          </cell>
          <cell r="AM22">
            <v>0</v>
          </cell>
          <cell r="AN22">
            <v>27602.27</v>
          </cell>
          <cell r="AO22">
            <v>0</v>
          </cell>
          <cell r="AP22" t="str">
            <v>ok</v>
          </cell>
          <cell r="AQ22" t="str">
            <v>Billones, Angelo</v>
          </cell>
          <cell r="AR22">
            <v>0</v>
          </cell>
          <cell r="AS22">
            <v>900</v>
          </cell>
          <cell r="AT22">
            <v>0</v>
          </cell>
          <cell r="AU22">
            <v>100</v>
          </cell>
          <cell r="AV22">
            <v>0</v>
          </cell>
          <cell r="AW22">
            <v>0</v>
          </cell>
          <cell r="AX22">
            <v>400</v>
          </cell>
          <cell r="AY22">
            <v>0</v>
          </cell>
        </row>
        <row r="23">
          <cell r="A23" t="str">
            <v xml:space="preserve">Demagiba, Wennie </v>
          </cell>
          <cell r="B23" t="str">
            <v>ok</v>
          </cell>
          <cell r="C23" t="str">
            <v xml:space="preserve">Demagiba, Wennie </v>
          </cell>
          <cell r="D23">
            <v>9249553198</v>
          </cell>
          <cell r="E23">
            <v>5364.49</v>
          </cell>
          <cell r="F23">
            <v>14262.210000000001</v>
          </cell>
          <cell r="G23">
            <v>19626.7</v>
          </cell>
          <cell r="H23">
            <v>0</v>
          </cell>
          <cell r="I23">
            <v>0</v>
          </cell>
          <cell r="J23" t="str">
            <v>ok</v>
          </cell>
          <cell r="K23" t="str">
            <v xml:space="preserve">Demagiba, Wennie </v>
          </cell>
          <cell r="L23">
            <v>20701.7</v>
          </cell>
          <cell r="M23">
            <v>1075</v>
          </cell>
          <cell r="N23">
            <v>675</v>
          </cell>
          <cell r="O23">
            <v>0</v>
          </cell>
          <cell r="P23">
            <v>100</v>
          </cell>
          <cell r="Q23">
            <v>0</v>
          </cell>
          <cell r="R23">
            <v>0</v>
          </cell>
          <cell r="S23">
            <v>300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5364.49</v>
          </cell>
          <cell r="Z23">
            <v>14262.200000000003</v>
          </cell>
          <cell r="AA23">
            <v>19626.690000000002</v>
          </cell>
          <cell r="AB23">
            <v>0</v>
          </cell>
          <cell r="AC23">
            <v>0</v>
          </cell>
          <cell r="AD23">
            <v>0</v>
          </cell>
          <cell r="AE23" t="str">
            <v>ok</v>
          </cell>
          <cell r="AF23" t="str">
            <v xml:space="preserve">Demagiba, Wennie </v>
          </cell>
          <cell r="AG23">
            <v>15000</v>
          </cell>
          <cell r="AH23">
            <v>0</v>
          </cell>
          <cell r="AI23">
            <v>1252.8409090909092</v>
          </cell>
          <cell r="AJ23">
            <v>0</v>
          </cell>
          <cell r="AK23">
            <v>4448.863636363636</v>
          </cell>
          <cell r="AL23">
            <v>0</v>
          </cell>
          <cell r="AM23">
            <v>0</v>
          </cell>
          <cell r="AN23">
            <v>20701.7</v>
          </cell>
          <cell r="AO23">
            <v>0</v>
          </cell>
          <cell r="AP23" t="str">
            <v>ok</v>
          </cell>
          <cell r="AQ23" t="str">
            <v xml:space="preserve">Demagiba, Wennie </v>
          </cell>
          <cell r="AR23">
            <v>0</v>
          </cell>
          <cell r="AS23">
            <v>675</v>
          </cell>
          <cell r="AT23">
            <v>0</v>
          </cell>
          <cell r="AU23">
            <v>100</v>
          </cell>
          <cell r="AV23">
            <v>0</v>
          </cell>
          <cell r="AW23">
            <v>0</v>
          </cell>
          <cell r="AX23">
            <v>300</v>
          </cell>
          <cell r="AY23">
            <v>0</v>
          </cell>
        </row>
        <row r="24">
          <cell r="A24" t="str">
            <v>Periodico, Roma</v>
          </cell>
          <cell r="B24" t="str">
            <v>ok</v>
          </cell>
          <cell r="C24" t="str">
            <v>Periodico, Roma</v>
          </cell>
          <cell r="D24">
            <v>9249553163</v>
          </cell>
          <cell r="E24">
            <v>8074.24</v>
          </cell>
          <cell r="F24">
            <v>15983.34</v>
          </cell>
          <cell r="G24">
            <v>24057.58</v>
          </cell>
          <cell r="H24">
            <v>0</v>
          </cell>
          <cell r="I24">
            <v>0</v>
          </cell>
          <cell r="J24" t="str">
            <v>ok</v>
          </cell>
          <cell r="K24" t="str">
            <v>Periodico, Roma</v>
          </cell>
          <cell r="L24">
            <v>25625</v>
          </cell>
          <cell r="M24">
            <v>1567.42</v>
          </cell>
          <cell r="N24">
            <v>900</v>
          </cell>
          <cell r="O24">
            <v>0</v>
          </cell>
          <cell r="P24">
            <v>100</v>
          </cell>
          <cell r="Q24">
            <v>0</v>
          </cell>
          <cell r="R24">
            <v>0</v>
          </cell>
          <cell r="S24">
            <v>400</v>
          </cell>
          <cell r="T24">
            <v>0</v>
          </cell>
          <cell r="U24">
            <v>0</v>
          </cell>
          <cell r="V24">
            <v>0</v>
          </cell>
          <cell r="W24">
            <v>167.42</v>
          </cell>
          <cell r="X24">
            <v>0</v>
          </cell>
          <cell r="Y24">
            <v>8074.24</v>
          </cell>
          <cell r="Z24">
            <v>15983.330000000004</v>
          </cell>
          <cell r="AA24">
            <v>24057.570000000003</v>
          </cell>
          <cell r="AB24">
            <v>0</v>
          </cell>
          <cell r="AC24">
            <v>0</v>
          </cell>
          <cell r="AD24">
            <v>0</v>
          </cell>
          <cell r="AE24" t="str">
            <v>ok</v>
          </cell>
          <cell r="AF24" t="str">
            <v>Periodico, Roma</v>
          </cell>
          <cell r="AG24">
            <v>20000</v>
          </cell>
          <cell r="AH24">
            <v>0</v>
          </cell>
          <cell r="AI24">
            <v>1670.4545454545457</v>
          </cell>
          <cell r="AJ24">
            <v>0</v>
          </cell>
          <cell r="AK24">
            <v>3954.545454545455</v>
          </cell>
          <cell r="AL24">
            <v>0</v>
          </cell>
          <cell r="AM24">
            <v>0</v>
          </cell>
          <cell r="AN24">
            <v>25625</v>
          </cell>
          <cell r="AO24">
            <v>0</v>
          </cell>
          <cell r="AP24" t="str">
            <v>ok</v>
          </cell>
          <cell r="AQ24" t="str">
            <v>Periodico, Roma</v>
          </cell>
          <cell r="AR24">
            <v>0</v>
          </cell>
          <cell r="AS24">
            <v>900</v>
          </cell>
          <cell r="AT24">
            <v>0</v>
          </cell>
          <cell r="AU24">
            <v>100</v>
          </cell>
          <cell r="AV24">
            <v>0</v>
          </cell>
          <cell r="AW24">
            <v>0</v>
          </cell>
          <cell r="AX24">
            <v>400</v>
          </cell>
          <cell r="AY24">
            <v>0</v>
          </cell>
        </row>
        <row r="25">
          <cell r="A25" t="str">
            <v>Galvez, Phenix John</v>
          </cell>
          <cell r="B25" t="str">
            <v>ok</v>
          </cell>
          <cell r="C25" t="str">
            <v>Galvez, Phenix John</v>
          </cell>
          <cell r="D25">
            <v>9249537796</v>
          </cell>
          <cell r="E25">
            <v>8607.44</v>
          </cell>
          <cell r="F25">
            <v>8607.4600000000009</v>
          </cell>
          <cell r="G25">
            <v>17214.900000000001</v>
          </cell>
          <cell r="H25">
            <v>0</v>
          </cell>
          <cell r="I25">
            <v>0</v>
          </cell>
          <cell r="J25" t="str">
            <v>ok</v>
          </cell>
          <cell r="K25" t="str">
            <v>Galvez, Phenix John</v>
          </cell>
          <cell r="L25">
            <v>18419.89</v>
          </cell>
          <cell r="M25">
            <v>1205</v>
          </cell>
          <cell r="N25">
            <v>765</v>
          </cell>
          <cell r="O25">
            <v>0</v>
          </cell>
          <cell r="P25">
            <v>100</v>
          </cell>
          <cell r="Q25">
            <v>0</v>
          </cell>
          <cell r="R25">
            <v>0</v>
          </cell>
          <cell r="S25">
            <v>340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8607.44</v>
          </cell>
          <cell r="Z25">
            <v>8607.44</v>
          </cell>
          <cell r="AA25">
            <v>17214.88</v>
          </cell>
          <cell r="AB25">
            <v>0</v>
          </cell>
          <cell r="AC25">
            <v>0</v>
          </cell>
          <cell r="AD25">
            <v>0</v>
          </cell>
          <cell r="AE25" t="str">
            <v>ok</v>
          </cell>
          <cell r="AF25" t="str">
            <v>Galvez, Phenix John</v>
          </cell>
          <cell r="AG25">
            <v>17000</v>
          </cell>
          <cell r="AH25">
            <v>0</v>
          </cell>
          <cell r="AI25">
            <v>1419.886363636364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18419.89</v>
          </cell>
          <cell r="AO25">
            <v>0</v>
          </cell>
          <cell r="AP25" t="str">
            <v>ok</v>
          </cell>
          <cell r="AQ25" t="str">
            <v>Galvez, Phenix John</v>
          </cell>
          <cell r="AR25">
            <v>0</v>
          </cell>
          <cell r="AS25">
            <v>765</v>
          </cell>
          <cell r="AT25">
            <v>0</v>
          </cell>
          <cell r="AU25">
            <v>100</v>
          </cell>
          <cell r="AV25">
            <v>0</v>
          </cell>
          <cell r="AW25">
            <v>0</v>
          </cell>
          <cell r="AX25">
            <v>340</v>
          </cell>
          <cell r="AY25">
            <v>0</v>
          </cell>
        </row>
        <row r="26">
          <cell r="A26" t="str">
            <v>Lobaton, Mark</v>
          </cell>
          <cell r="B26" t="str">
            <v>ok</v>
          </cell>
          <cell r="C26" t="str">
            <v>Lobaton, Mark</v>
          </cell>
          <cell r="D26">
            <v>9249552965</v>
          </cell>
          <cell r="E26">
            <v>6061.14</v>
          </cell>
          <cell r="F26">
            <v>6061.14</v>
          </cell>
          <cell r="G26">
            <v>12122.28</v>
          </cell>
          <cell r="H26">
            <v>0</v>
          </cell>
          <cell r="I26">
            <v>0</v>
          </cell>
          <cell r="J26" t="str">
            <v>ok</v>
          </cell>
          <cell r="K26" t="str">
            <v>Lobaton, Mark</v>
          </cell>
          <cell r="L26">
            <v>13002.27</v>
          </cell>
          <cell r="M26">
            <v>880</v>
          </cell>
          <cell r="N26">
            <v>540</v>
          </cell>
          <cell r="O26">
            <v>0</v>
          </cell>
          <cell r="P26">
            <v>100</v>
          </cell>
          <cell r="Q26">
            <v>0</v>
          </cell>
          <cell r="R26">
            <v>0</v>
          </cell>
          <cell r="S26">
            <v>240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6061.13</v>
          </cell>
          <cell r="Z26">
            <v>6061.13</v>
          </cell>
          <cell r="AA26">
            <v>12122.26</v>
          </cell>
          <cell r="AB26">
            <v>0</v>
          </cell>
          <cell r="AC26">
            <v>0</v>
          </cell>
          <cell r="AD26">
            <v>0</v>
          </cell>
          <cell r="AE26" t="str">
            <v>ok</v>
          </cell>
          <cell r="AF26" t="str">
            <v>Lobaton, Mark</v>
          </cell>
          <cell r="AG26">
            <v>12000</v>
          </cell>
          <cell r="AH26">
            <v>0</v>
          </cell>
          <cell r="AI26">
            <v>1002.2727272727274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13002.27</v>
          </cell>
          <cell r="AO26">
            <v>0</v>
          </cell>
          <cell r="AP26" t="str">
            <v>ok</v>
          </cell>
          <cell r="AQ26" t="str">
            <v>Lobaton, Mark</v>
          </cell>
          <cell r="AR26">
            <v>0</v>
          </cell>
          <cell r="AS26">
            <v>540</v>
          </cell>
          <cell r="AT26">
            <v>0</v>
          </cell>
          <cell r="AU26">
            <v>100</v>
          </cell>
          <cell r="AV26">
            <v>0</v>
          </cell>
          <cell r="AW26">
            <v>0</v>
          </cell>
          <cell r="AX26">
            <v>240</v>
          </cell>
          <cell r="AY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Almorin, Mary Flor S.</v>
          </cell>
          <cell r="B29" t="str">
            <v>ok</v>
          </cell>
          <cell r="C29" t="str">
            <v>Almorin, Mary Flor S.</v>
          </cell>
          <cell r="D29">
            <v>9249537672</v>
          </cell>
          <cell r="E29">
            <v>8568.56</v>
          </cell>
          <cell r="G29">
            <v>8568.56</v>
          </cell>
          <cell r="H29">
            <v>0</v>
          </cell>
          <cell r="J29" t="str">
            <v>ok</v>
          </cell>
          <cell r="K29" t="str">
            <v>Almorin, Mary Flor S.</v>
          </cell>
          <cell r="L29">
            <v>21670.45</v>
          </cell>
          <cell r="M29">
            <v>4533.3290909090911</v>
          </cell>
          <cell r="N29">
            <v>900</v>
          </cell>
          <cell r="O29">
            <v>0</v>
          </cell>
          <cell r="P29">
            <v>100</v>
          </cell>
          <cell r="Q29">
            <v>0</v>
          </cell>
          <cell r="R29">
            <v>0</v>
          </cell>
          <cell r="S29">
            <v>400</v>
          </cell>
          <cell r="T29">
            <v>0</v>
          </cell>
          <cell r="U29">
            <v>0</v>
          </cell>
          <cell r="V29">
            <v>2965.909090909091</v>
          </cell>
          <cell r="W29">
            <v>167.42</v>
          </cell>
          <cell r="X29">
            <v>0</v>
          </cell>
          <cell r="Y29">
            <v>8568.56</v>
          </cell>
          <cell r="Z29">
            <v>8568.5609090909111</v>
          </cell>
          <cell r="AA29">
            <v>17137.120909090911</v>
          </cell>
          <cell r="AE29" t="str">
            <v>ok</v>
          </cell>
          <cell r="AF29" t="str">
            <v>Almorin, Mary Flor S.</v>
          </cell>
          <cell r="AG29">
            <v>20000</v>
          </cell>
          <cell r="AI29">
            <v>1670.4545454545457</v>
          </cell>
          <cell r="AN29">
            <v>21670.45</v>
          </cell>
          <cell r="AP29" t="str">
            <v>ok</v>
          </cell>
          <cell r="AQ29" t="str">
            <v>Almorin, Mary Flor S.</v>
          </cell>
          <cell r="AS29">
            <v>900</v>
          </cell>
          <cell r="AT29">
            <v>0</v>
          </cell>
          <cell r="AU29">
            <v>100</v>
          </cell>
          <cell r="AV29">
            <v>0</v>
          </cell>
          <cell r="AW29">
            <v>0</v>
          </cell>
          <cell r="AX29">
            <v>400</v>
          </cell>
          <cell r="AY29">
            <v>0</v>
          </cell>
        </row>
        <row r="30">
          <cell r="A30" t="str">
            <v xml:space="preserve">Panes, Bengie </v>
          </cell>
          <cell r="B30" t="str">
            <v>ok</v>
          </cell>
          <cell r="C30" t="str">
            <v xml:space="preserve">Panes, Bengie </v>
          </cell>
          <cell r="D30">
            <v>9249552949</v>
          </cell>
          <cell r="E30">
            <v>5725.45</v>
          </cell>
          <cell r="F30">
            <v>0</v>
          </cell>
          <cell r="G30">
            <v>5725.45</v>
          </cell>
          <cell r="H30">
            <v>0</v>
          </cell>
          <cell r="I30">
            <v>0</v>
          </cell>
          <cell r="J30" t="str">
            <v>ok</v>
          </cell>
          <cell r="K30" t="str">
            <v xml:space="preserve">Panes, Bengie </v>
          </cell>
          <cell r="L30">
            <v>22081.82</v>
          </cell>
          <cell r="M30">
            <v>1140</v>
          </cell>
          <cell r="N30">
            <v>720</v>
          </cell>
          <cell r="O30">
            <v>0</v>
          </cell>
          <cell r="P30">
            <v>100</v>
          </cell>
          <cell r="Q30">
            <v>0</v>
          </cell>
          <cell r="R30">
            <v>0</v>
          </cell>
          <cell r="S30">
            <v>320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5725.45</v>
          </cell>
          <cell r="Z30">
            <v>15216.36</v>
          </cell>
          <cell r="AA30">
            <v>20941.810000000001</v>
          </cell>
          <cell r="AB30">
            <v>0</v>
          </cell>
          <cell r="AC30">
            <v>0</v>
          </cell>
          <cell r="AD30">
            <v>0</v>
          </cell>
          <cell r="AE30" t="str">
            <v>ok</v>
          </cell>
          <cell r="AF30" t="str">
            <v xml:space="preserve">Panes, Bengie </v>
          </cell>
          <cell r="AG30">
            <v>16000</v>
          </cell>
          <cell r="AH30">
            <v>0</v>
          </cell>
          <cell r="AI30">
            <v>1336.3636363636365</v>
          </cell>
          <cell r="AJ30">
            <v>0</v>
          </cell>
          <cell r="AK30">
            <v>4745.454545454545</v>
          </cell>
          <cell r="AL30">
            <v>0</v>
          </cell>
          <cell r="AM30">
            <v>0</v>
          </cell>
          <cell r="AN30">
            <v>22081.82</v>
          </cell>
          <cell r="AO30">
            <v>0</v>
          </cell>
          <cell r="AP30" t="str">
            <v>ok</v>
          </cell>
          <cell r="AQ30" t="str">
            <v xml:space="preserve">Panes, Bengie </v>
          </cell>
          <cell r="AR30">
            <v>0</v>
          </cell>
          <cell r="AS30">
            <v>720</v>
          </cell>
          <cell r="AT30">
            <v>0</v>
          </cell>
          <cell r="AU30">
            <v>100</v>
          </cell>
          <cell r="AV30">
            <v>0</v>
          </cell>
          <cell r="AW30">
            <v>0</v>
          </cell>
          <cell r="AX30">
            <v>320</v>
          </cell>
          <cell r="AY30">
            <v>0</v>
          </cell>
        </row>
        <row r="31">
          <cell r="A31" t="str">
            <v>Galvez, Rey</v>
          </cell>
          <cell r="B31" t="str">
            <v>ok</v>
          </cell>
          <cell r="C31" t="str">
            <v>Galvez, Rey</v>
          </cell>
          <cell r="D31">
            <v>9249537796</v>
          </cell>
          <cell r="E31">
            <v>8098.18</v>
          </cell>
          <cell r="F31">
            <v>0</v>
          </cell>
          <cell r="G31">
            <v>8098.18</v>
          </cell>
          <cell r="H31">
            <v>0</v>
          </cell>
          <cell r="I31">
            <v>0</v>
          </cell>
          <cell r="J31" t="str">
            <v>ok</v>
          </cell>
          <cell r="K31" t="str">
            <v>Galvez, Rey</v>
          </cell>
          <cell r="L31">
            <v>14172.72</v>
          </cell>
          <cell r="M31">
            <v>1140</v>
          </cell>
          <cell r="N31">
            <v>720</v>
          </cell>
          <cell r="O31">
            <v>0</v>
          </cell>
          <cell r="P31">
            <v>100</v>
          </cell>
          <cell r="Q31">
            <v>0</v>
          </cell>
          <cell r="R31">
            <v>0</v>
          </cell>
          <cell r="S31">
            <v>320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8098.18</v>
          </cell>
          <cell r="Z31">
            <v>4934.5299999999988</v>
          </cell>
          <cell r="AA31">
            <v>13032.71</v>
          </cell>
          <cell r="AB31">
            <v>0</v>
          </cell>
          <cell r="AC31">
            <v>0</v>
          </cell>
          <cell r="AD31">
            <v>0</v>
          </cell>
          <cell r="AE31" t="str">
            <v>ok</v>
          </cell>
          <cell r="AF31" t="str">
            <v>Galvez, Rey</v>
          </cell>
          <cell r="AG31">
            <v>16000</v>
          </cell>
          <cell r="AH31">
            <v>0</v>
          </cell>
          <cell r="AI31">
            <v>1336.3636363636365</v>
          </cell>
          <cell r="AJ31">
            <v>0</v>
          </cell>
          <cell r="AK31">
            <v>0</v>
          </cell>
          <cell r="AL31">
            <v>3163.64</v>
          </cell>
          <cell r="AM31">
            <v>0</v>
          </cell>
          <cell r="AN31">
            <v>14172.72</v>
          </cell>
          <cell r="AO31">
            <v>0</v>
          </cell>
          <cell r="AP31" t="str">
            <v>ok</v>
          </cell>
          <cell r="AQ31" t="str">
            <v>Galvez, Rey</v>
          </cell>
          <cell r="AR31">
            <v>0</v>
          </cell>
          <cell r="AS31">
            <v>720</v>
          </cell>
          <cell r="AT31">
            <v>0</v>
          </cell>
          <cell r="AU31">
            <v>100</v>
          </cell>
          <cell r="AV31">
            <v>0</v>
          </cell>
          <cell r="AW31">
            <v>0</v>
          </cell>
          <cell r="AX31">
            <v>320</v>
          </cell>
          <cell r="AY31">
            <v>0</v>
          </cell>
        </row>
        <row r="32">
          <cell r="A32" t="str">
            <v>Navio, Harold Von</v>
          </cell>
          <cell r="B32" t="str">
            <v>ok</v>
          </cell>
          <cell r="C32" t="str">
            <v>Navio, Harold Von</v>
          </cell>
          <cell r="D32">
            <v>9249552957</v>
          </cell>
          <cell r="E32">
            <v>8098.18</v>
          </cell>
          <cell r="F32">
            <v>0</v>
          </cell>
          <cell r="G32">
            <v>8098.18</v>
          </cell>
          <cell r="H32">
            <v>0</v>
          </cell>
          <cell r="I32">
            <v>0</v>
          </cell>
          <cell r="J32" t="str">
            <v>ok</v>
          </cell>
          <cell r="K32" t="str">
            <v>Navio, Harold Von</v>
          </cell>
          <cell r="L32">
            <v>14172.72</v>
          </cell>
          <cell r="M32">
            <v>1140</v>
          </cell>
          <cell r="N32">
            <v>720</v>
          </cell>
          <cell r="O32">
            <v>0</v>
          </cell>
          <cell r="P32">
            <v>100</v>
          </cell>
          <cell r="Q32">
            <v>0</v>
          </cell>
          <cell r="R32">
            <v>0</v>
          </cell>
          <cell r="S32">
            <v>320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8098.18</v>
          </cell>
          <cell r="Z32">
            <v>4934.5299999999988</v>
          </cell>
          <cell r="AA32">
            <v>13032.71</v>
          </cell>
          <cell r="AB32">
            <v>0</v>
          </cell>
          <cell r="AC32">
            <v>0</v>
          </cell>
          <cell r="AD32">
            <v>0</v>
          </cell>
          <cell r="AE32" t="str">
            <v>ok</v>
          </cell>
          <cell r="AF32" t="str">
            <v>Navio, Harold Von</v>
          </cell>
          <cell r="AG32">
            <v>16000</v>
          </cell>
          <cell r="AH32">
            <v>0</v>
          </cell>
          <cell r="AI32">
            <v>1336.3636363636365</v>
          </cell>
          <cell r="AJ32">
            <v>0</v>
          </cell>
          <cell r="AK32">
            <v>0</v>
          </cell>
          <cell r="AL32">
            <v>3163.64</v>
          </cell>
          <cell r="AM32">
            <v>0</v>
          </cell>
          <cell r="AN32">
            <v>14172.72</v>
          </cell>
          <cell r="AO32">
            <v>0</v>
          </cell>
          <cell r="AP32" t="str">
            <v>ok</v>
          </cell>
          <cell r="AQ32" t="str">
            <v>Navio, Harold Von</v>
          </cell>
          <cell r="AR32">
            <v>0</v>
          </cell>
          <cell r="AS32">
            <v>720</v>
          </cell>
          <cell r="AT32">
            <v>0</v>
          </cell>
          <cell r="AU32">
            <v>100</v>
          </cell>
          <cell r="AV32">
            <v>0</v>
          </cell>
          <cell r="AW32">
            <v>0</v>
          </cell>
          <cell r="AX32">
            <v>320</v>
          </cell>
          <cell r="AY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</row>
        <row r="34">
          <cell r="A34" t="str">
            <v>RESIGNED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</row>
        <row r="35">
          <cell r="A35" t="str">
            <v xml:space="preserve">San Miguel, Genesse </v>
          </cell>
          <cell r="B35" t="str">
            <v>ok</v>
          </cell>
          <cell r="C35" t="str">
            <v xml:space="preserve">San Miguel, Genesse </v>
          </cell>
          <cell r="D35">
            <v>9249546051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 t="str">
            <v>ok</v>
          </cell>
          <cell r="K35" t="str">
            <v xml:space="preserve">San Miguel, Genesse 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 t="str">
            <v>ok</v>
          </cell>
          <cell r="AF35" t="str">
            <v xml:space="preserve">San Miguel, Genesse 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str">
            <v>ok</v>
          </cell>
          <cell r="AQ35" t="str">
            <v xml:space="preserve">San Miguel, Genesse 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</row>
        <row r="36">
          <cell r="A36" t="str">
            <v>Colonia, Shiela</v>
          </cell>
          <cell r="B36" t="str">
            <v>ok</v>
          </cell>
          <cell r="C36" t="str">
            <v>Colonia, Shiela</v>
          </cell>
          <cell r="D36">
            <v>9249546043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str">
            <v>ok</v>
          </cell>
          <cell r="K36" t="str">
            <v>Colonia, Shiela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 t="str">
            <v>ok</v>
          </cell>
          <cell r="AF36" t="str">
            <v>Colonia, Shiela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str">
            <v>ok</v>
          </cell>
          <cell r="AQ36" t="str">
            <v>Colonia, Shiela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</row>
        <row r="37">
          <cell r="A37" t="str">
            <v>Aquit, April Rose</v>
          </cell>
          <cell r="B37" t="str">
            <v>ok</v>
          </cell>
          <cell r="C37" t="str">
            <v>Aquit, April Rose</v>
          </cell>
          <cell r="D37">
            <v>9249546108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 t="str">
            <v>ok</v>
          </cell>
          <cell r="K37" t="str">
            <v>Aquit, April Rose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 t="str">
            <v>ok</v>
          </cell>
          <cell r="AF37" t="str">
            <v>Aquit, April Rose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str">
            <v>ok</v>
          </cell>
          <cell r="AQ37" t="str">
            <v>Aquit, April Rose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  <cell r="K39">
            <v>0</v>
          </cell>
          <cell r="N39">
            <v>0</v>
          </cell>
          <cell r="P39">
            <v>0</v>
          </cell>
          <cell r="Q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AG39">
            <v>0</v>
          </cell>
          <cell r="AN39">
            <v>0</v>
          </cell>
          <cell r="AQ39">
            <v>0</v>
          </cell>
          <cell r="AR39">
            <v>0</v>
          </cell>
        </row>
        <row r="40">
          <cell r="A40" t="str">
            <v>TOTAL</v>
          </cell>
          <cell r="B40">
            <v>0</v>
          </cell>
          <cell r="C40" t="str">
            <v>TOTAL</v>
          </cell>
          <cell r="D40">
            <v>0</v>
          </cell>
          <cell r="E40">
            <v>366420.75999999995</v>
          </cell>
          <cell r="F40">
            <v>356947.26000000018</v>
          </cell>
          <cell r="G40">
            <v>723368.02000000014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518740.68000000011</v>
          </cell>
          <cell r="M40">
            <v>56968.701818181813</v>
          </cell>
          <cell r="N40">
            <v>20655</v>
          </cell>
          <cell r="O40">
            <v>2702.77</v>
          </cell>
          <cell r="P40">
            <v>2500</v>
          </cell>
          <cell r="Q40">
            <v>0</v>
          </cell>
          <cell r="R40">
            <v>4387.6399999999994</v>
          </cell>
          <cell r="S40">
            <v>9180</v>
          </cell>
          <cell r="T40">
            <v>0</v>
          </cell>
          <cell r="U40">
            <v>3636.3636363636365</v>
          </cell>
          <cell r="V40">
            <v>10477.268181818181</v>
          </cell>
          <cell r="W40">
            <v>3429.6600000000003</v>
          </cell>
          <cell r="X40">
            <v>295250</v>
          </cell>
          <cell r="Y40">
            <v>366420.71999999991</v>
          </cell>
          <cell r="Z40">
            <v>390601.11818181828</v>
          </cell>
          <cell r="AA40">
            <v>757021.83818181814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 t="str">
            <v>TOTAL</v>
          </cell>
          <cell r="AG40">
            <v>459000</v>
          </cell>
          <cell r="AH40">
            <v>0</v>
          </cell>
          <cell r="AI40">
            <v>37621.022727272735</v>
          </cell>
          <cell r="AJ40">
            <v>5553.977272727273</v>
          </cell>
          <cell r="AK40">
            <v>22893.021818181816</v>
          </cell>
          <cell r="AL40">
            <v>6327.28</v>
          </cell>
          <cell r="AM40">
            <v>0</v>
          </cell>
          <cell r="AN40">
            <v>518740.68000000011</v>
          </cell>
          <cell r="AO40">
            <v>0</v>
          </cell>
          <cell r="AP40">
            <v>0</v>
          </cell>
          <cell r="AQ40" t="str">
            <v>TOTAL</v>
          </cell>
          <cell r="AR40">
            <v>0</v>
          </cell>
          <cell r="AS40">
            <v>20655</v>
          </cell>
          <cell r="AT40">
            <v>2702.77</v>
          </cell>
          <cell r="AU40">
            <v>2500</v>
          </cell>
          <cell r="AV40">
            <v>0</v>
          </cell>
          <cell r="AW40">
            <v>4387.6399999999994</v>
          </cell>
          <cell r="AX40">
            <v>9180</v>
          </cell>
          <cell r="AY40">
            <v>0</v>
          </cell>
        </row>
        <row r="41">
          <cell r="A41">
            <v>25</v>
          </cell>
          <cell r="B41">
            <v>0</v>
          </cell>
          <cell r="C41">
            <v>0</v>
          </cell>
          <cell r="D41">
            <v>0</v>
          </cell>
          <cell r="E41">
            <v>366420.76</v>
          </cell>
          <cell r="F41">
            <v>356947.26</v>
          </cell>
          <cell r="G41">
            <v>723368.01909090905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518740.74181818165</v>
          </cell>
          <cell r="M41">
            <v>56968.701818181806</v>
          </cell>
          <cell r="N41">
            <v>20655</v>
          </cell>
          <cell r="O41">
            <v>2702.77</v>
          </cell>
          <cell r="P41">
            <v>2500</v>
          </cell>
          <cell r="Q41">
            <v>0</v>
          </cell>
          <cell r="R41">
            <v>4387.6399999999994</v>
          </cell>
          <cell r="S41">
            <v>9180</v>
          </cell>
          <cell r="T41">
            <v>0</v>
          </cell>
          <cell r="U41">
            <v>3636.3636363636365</v>
          </cell>
          <cell r="V41">
            <v>10477.268181818183</v>
          </cell>
          <cell r="W41">
            <v>3429.6600000000003</v>
          </cell>
          <cell r="X41">
            <v>295250</v>
          </cell>
          <cell r="Y41">
            <v>366420.75999999995</v>
          </cell>
          <cell r="Z41">
            <v>390601.28</v>
          </cell>
          <cell r="AA41">
            <v>757022.03999999992</v>
          </cell>
          <cell r="AB41">
            <v>0</v>
          </cell>
          <cell r="AC41">
            <v>0</v>
          </cell>
          <cell r="AE41">
            <v>0</v>
          </cell>
          <cell r="AF41">
            <v>0</v>
          </cell>
          <cell r="AG41">
            <v>459000</v>
          </cell>
          <cell r="AH41">
            <v>0</v>
          </cell>
          <cell r="AI41">
            <v>37621.022727272728</v>
          </cell>
          <cell r="AJ41">
            <v>5553.977272727273</v>
          </cell>
          <cell r="AK41">
            <v>22893.021818181816</v>
          </cell>
          <cell r="AL41">
            <v>6327.28</v>
          </cell>
          <cell r="AM41">
            <v>0</v>
          </cell>
          <cell r="AN41">
            <v>518740.74181818165</v>
          </cell>
          <cell r="AP41">
            <v>0</v>
          </cell>
          <cell r="AQ41">
            <v>0</v>
          </cell>
          <cell r="AR41">
            <v>0</v>
          </cell>
          <cell r="AS41">
            <v>20655</v>
          </cell>
          <cell r="AT41">
            <v>2702.77</v>
          </cell>
          <cell r="AU41">
            <v>2500</v>
          </cell>
          <cell r="AV41">
            <v>0</v>
          </cell>
          <cell r="AW41">
            <v>4387.6399999999994</v>
          </cell>
          <cell r="AX41">
            <v>9180</v>
          </cell>
          <cell r="AY41">
            <v>0</v>
          </cell>
        </row>
        <row r="42">
          <cell r="B42">
            <v>0</v>
          </cell>
          <cell r="E42">
            <v>0</v>
          </cell>
          <cell r="F42">
            <v>0</v>
          </cell>
          <cell r="G42">
            <v>9.0909108985215425E-4</v>
          </cell>
          <cell r="J42">
            <v>0</v>
          </cell>
          <cell r="L42">
            <v>-6.1818181537091732E-2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-4.0000000037252903E-2</v>
          </cell>
          <cell r="Z42">
            <v>-0.16181818174663931</v>
          </cell>
          <cell r="AA42">
            <v>-0.20181818178389221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-6.1818181537091732E-2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</row>
        <row r="43"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</row>
        <row r="3">
          <cell r="A3" t="str">
            <v>Payroll Period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 t="str">
            <v>PAYROLL REGISTER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 t="str">
            <v>EARNINGS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 t="str">
            <v>DEDUCTION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</row>
        <row r="4">
          <cell r="A4">
            <v>44713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NAME</v>
          </cell>
          <cell r="C5" t="str">
            <v>EMPLOYEE'S NAME</v>
          </cell>
          <cell r="D5" t="str">
            <v>ACCOUNT NO.</v>
          </cell>
          <cell r="E5" t="str">
            <v>NET 15</v>
          </cell>
          <cell r="F5" t="str">
            <v>NET 30</v>
          </cell>
          <cell r="G5" t="str">
            <v>NET TOTAL</v>
          </cell>
          <cell r="H5">
            <v>0</v>
          </cell>
          <cell r="I5">
            <v>0</v>
          </cell>
          <cell r="K5">
            <v>0</v>
          </cell>
          <cell r="L5" t="str">
            <v>GROSSEARNINGS</v>
          </cell>
          <cell r="M5" t="str">
            <v>TOTAL DED'N.</v>
          </cell>
          <cell r="N5" t="str">
            <v>SSS CONT</v>
          </cell>
          <cell r="O5" t="str">
            <v>SSSLOAN</v>
          </cell>
          <cell r="P5" t="str">
            <v>HDMFCONT</v>
          </cell>
          <cell r="Q5" t="str">
            <v>HDMFCONT</v>
          </cell>
          <cell r="R5" t="str">
            <v>HDMFLOAN</v>
          </cell>
          <cell r="S5" t="str">
            <v>PHICCONT</v>
          </cell>
          <cell r="T5">
            <v>0</v>
          </cell>
          <cell r="U5" t="str">
            <v>OTHERDED'N.</v>
          </cell>
          <cell r="V5" t="str">
            <v>LWOP</v>
          </cell>
          <cell r="W5" t="str">
            <v>BASETAX</v>
          </cell>
          <cell r="X5" t="str">
            <v>ALLOWANCE</v>
          </cell>
          <cell r="Y5" t="str">
            <v>NET 15</v>
          </cell>
          <cell r="Z5" t="str">
            <v>NET 30</v>
          </cell>
          <cell r="AA5" t="str">
            <v>NET EARNINGS</v>
          </cell>
          <cell r="AB5">
            <v>0</v>
          </cell>
          <cell r="AC5">
            <v>0</v>
          </cell>
          <cell r="AF5" t="str">
            <v>NAME</v>
          </cell>
          <cell r="AG5" t="str">
            <v>BASIC RATE</v>
          </cell>
          <cell r="AH5" t="str">
            <v>HOLIDAY PAY</v>
          </cell>
          <cell r="AI5" t="str">
            <v>NIGHT DIFF</v>
          </cell>
          <cell r="AJ5" t="str">
            <v>OT PAY</v>
          </cell>
          <cell r="AK5" t="str">
            <v>OTHER ADDT'L.</v>
          </cell>
          <cell r="AL5" t="str">
            <v>ADJUSTMENT</v>
          </cell>
          <cell r="AN5" t="str">
            <v>GROSS EARNINGS</v>
          </cell>
          <cell r="AQ5" t="str">
            <v>NAME</v>
          </cell>
          <cell r="AS5" t="str">
            <v>SSS CONT</v>
          </cell>
          <cell r="AT5" t="str">
            <v>SSSLOAN</v>
          </cell>
          <cell r="AU5" t="str">
            <v>HDMFCONT</v>
          </cell>
          <cell r="AV5" t="str">
            <v>HDMFADDTL</v>
          </cell>
          <cell r="AW5" t="str">
            <v>HDMFLOAN</v>
          </cell>
          <cell r="AX5" t="str">
            <v>PHICCONT</v>
          </cell>
          <cell r="AY5">
            <v>0</v>
          </cell>
          <cell r="AZ5" t="str">
            <v>OTHERDED'N.</v>
          </cell>
          <cell r="BA5" t="str">
            <v>LWOP</v>
          </cell>
        </row>
        <row r="6">
          <cell r="A6" t="str">
            <v>Dangoy, Albert John S.</v>
          </cell>
          <cell r="B6" t="str">
            <v>ok</v>
          </cell>
          <cell r="C6" t="str">
            <v>Dangoy, Albert John S.</v>
          </cell>
          <cell r="D6">
            <v>9249537869</v>
          </cell>
          <cell r="E6">
            <v>16834.09</v>
          </cell>
          <cell r="F6">
            <v>16834.09</v>
          </cell>
          <cell r="G6">
            <v>33668.18</v>
          </cell>
          <cell r="H6">
            <v>0</v>
          </cell>
          <cell r="J6" t="str">
            <v>ok</v>
          </cell>
          <cell r="K6" t="str">
            <v>Dangoy, Albert John S.</v>
          </cell>
          <cell r="L6">
            <v>17795.45</v>
          </cell>
          <cell r="M6">
            <v>4127.2727272727279</v>
          </cell>
          <cell r="N6">
            <v>900</v>
          </cell>
          <cell r="O6">
            <v>0</v>
          </cell>
          <cell r="P6">
            <v>100</v>
          </cell>
          <cell r="Q6">
            <v>0</v>
          </cell>
          <cell r="R6">
            <v>0</v>
          </cell>
          <cell r="S6">
            <v>400</v>
          </cell>
          <cell r="T6">
            <v>0</v>
          </cell>
          <cell r="U6">
            <v>2727.2727272727275</v>
          </cell>
          <cell r="V6">
            <v>0</v>
          </cell>
          <cell r="W6">
            <v>0</v>
          </cell>
          <cell r="X6">
            <v>20000</v>
          </cell>
          <cell r="Y6">
            <v>16834.09</v>
          </cell>
          <cell r="Z6">
            <v>16834.087272727276</v>
          </cell>
          <cell r="AA6">
            <v>33668.177272727276</v>
          </cell>
          <cell r="AE6" t="str">
            <v>ok</v>
          </cell>
          <cell r="AF6" t="str">
            <v>Dangoy, Albert John S.</v>
          </cell>
          <cell r="AG6">
            <v>20000</v>
          </cell>
          <cell r="AI6">
            <v>1750.0000000000005</v>
          </cell>
          <cell r="AL6">
            <v>3954.54545454545</v>
          </cell>
          <cell r="AN6">
            <v>17795.45</v>
          </cell>
          <cell r="AP6" t="str">
            <v>ok</v>
          </cell>
          <cell r="AQ6" t="str">
            <v>Dangoy, Albert John S.</v>
          </cell>
          <cell r="AS6">
            <v>900</v>
          </cell>
          <cell r="AT6">
            <v>0</v>
          </cell>
          <cell r="AU6">
            <v>100</v>
          </cell>
          <cell r="AV6">
            <v>0</v>
          </cell>
          <cell r="AW6">
            <v>0</v>
          </cell>
          <cell r="AX6">
            <v>400</v>
          </cell>
          <cell r="AY6">
            <v>0</v>
          </cell>
          <cell r="AZ6">
            <v>2727.2727272727275</v>
          </cell>
          <cell r="BA6">
            <v>0</v>
          </cell>
        </row>
        <row r="7">
          <cell r="A7" t="str">
            <v>Salazar, Jim Tracy J.</v>
          </cell>
          <cell r="B7" t="str">
            <v>ok</v>
          </cell>
          <cell r="C7" t="str">
            <v>Salazar, Jim Tracy J.</v>
          </cell>
          <cell r="D7">
            <v>9249537761</v>
          </cell>
          <cell r="E7">
            <v>15430.68</v>
          </cell>
          <cell r="F7">
            <v>15430.68</v>
          </cell>
          <cell r="G7">
            <v>30861.360000000001</v>
          </cell>
          <cell r="H7">
            <v>0</v>
          </cell>
          <cell r="J7" t="str">
            <v>ok</v>
          </cell>
          <cell r="K7" t="str">
            <v>Salazar, Jim Tracy J.</v>
          </cell>
          <cell r="L7">
            <v>16806.82</v>
          </cell>
          <cell r="M7">
            <v>5945.454545454545</v>
          </cell>
          <cell r="N7">
            <v>900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400</v>
          </cell>
          <cell r="T7">
            <v>0</v>
          </cell>
          <cell r="U7">
            <v>4545.454545454545</v>
          </cell>
          <cell r="V7">
            <v>0</v>
          </cell>
          <cell r="W7">
            <v>0</v>
          </cell>
          <cell r="X7">
            <v>20000</v>
          </cell>
          <cell r="Y7">
            <v>15430.68</v>
          </cell>
          <cell r="Z7">
            <v>15430.685454545455</v>
          </cell>
          <cell r="AA7">
            <v>30861.365454545456</v>
          </cell>
          <cell r="AE7" t="str">
            <v>ok</v>
          </cell>
          <cell r="AF7" t="str">
            <v>Salazar, Jim Tracy J.</v>
          </cell>
          <cell r="AG7">
            <v>20000</v>
          </cell>
          <cell r="AI7">
            <v>1750.0000000000005</v>
          </cell>
          <cell r="AL7">
            <v>4943.1818181818198</v>
          </cell>
          <cell r="AN7">
            <v>16806.82</v>
          </cell>
          <cell r="AP7" t="str">
            <v>ok</v>
          </cell>
          <cell r="AQ7" t="str">
            <v>Salazar, Jim Tracy J.</v>
          </cell>
          <cell r="AS7">
            <v>900</v>
          </cell>
          <cell r="AT7">
            <v>0</v>
          </cell>
          <cell r="AU7">
            <v>100</v>
          </cell>
          <cell r="AV7">
            <v>0</v>
          </cell>
          <cell r="AW7">
            <v>0</v>
          </cell>
          <cell r="AX7">
            <v>400</v>
          </cell>
          <cell r="AY7">
            <v>0</v>
          </cell>
          <cell r="AZ7">
            <v>4545.454545454545</v>
          </cell>
          <cell r="BA7">
            <v>0</v>
          </cell>
        </row>
        <row r="8">
          <cell r="A8" t="str">
            <v>Reveriza, Emmar T.</v>
          </cell>
          <cell r="B8" t="str">
            <v>ok</v>
          </cell>
          <cell r="C8" t="str">
            <v>Reveriza, Emmar T.</v>
          </cell>
          <cell r="D8">
            <v>9249537737</v>
          </cell>
          <cell r="E8">
            <v>50083.329999999994</v>
          </cell>
          <cell r="F8">
            <v>50083.33</v>
          </cell>
          <cell r="G8">
            <v>100166.66</v>
          </cell>
          <cell r="H8">
            <v>0</v>
          </cell>
          <cell r="J8" t="str">
            <v>ok</v>
          </cell>
          <cell r="K8" t="str">
            <v>Reveriza, Emmar T.</v>
          </cell>
          <cell r="L8">
            <v>21750</v>
          </cell>
          <cell r="M8">
            <v>1583.33</v>
          </cell>
          <cell r="N8">
            <v>900</v>
          </cell>
          <cell r="O8">
            <v>0</v>
          </cell>
          <cell r="P8">
            <v>100</v>
          </cell>
          <cell r="Q8">
            <v>0</v>
          </cell>
          <cell r="R8">
            <v>0</v>
          </cell>
          <cell r="S8">
            <v>400</v>
          </cell>
          <cell r="T8">
            <v>0</v>
          </cell>
          <cell r="U8">
            <v>0</v>
          </cell>
          <cell r="V8">
            <v>0</v>
          </cell>
          <cell r="W8">
            <v>183.33</v>
          </cell>
          <cell r="X8">
            <v>80000</v>
          </cell>
          <cell r="Y8">
            <v>50083.34</v>
          </cell>
          <cell r="Z8">
            <v>50083.33</v>
          </cell>
          <cell r="AA8">
            <v>100166.67</v>
          </cell>
          <cell r="AE8" t="str">
            <v>ok</v>
          </cell>
          <cell r="AF8" t="str">
            <v>Reveriza, Emmar T.</v>
          </cell>
          <cell r="AG8">
            <v>20000</v>
          </cell>
          <cell r="AI8">
            <v>1750.0000000000005</v>
          </cell>
          <cell r="AN8">
            <v>21750</v>
          </cell>
          <cell r="AP8" t="str">
            <v>ok</v>
          </cell>
          <cell r="AQ8" t="str">
            <v>Reveriza, Emmar T.</v>
          </cell>
          <cell r="AS8">
            <v>900</v>
          </cell>
          <cell r="AT8">
            <v>0</v>
          </cell>
          <cell r="AU8">
            <v>100</v>
          </cell>
          <cell r="AV8">
            <v>0</v>
          </cell>
          <cell r="AW8">
            <v>0</v>
          </cell>
          <cell r="AX8">
            <v>400</v>
          </cell>
          <cell r="AY8">
            <v>0</v>
          </cell>
          <cell r="AZ8">
            <v>0</v>
          </cell>
          <cell r="BA8">
            <v>0</v>
          </cell>
        </row>
        <row r="9">
          <cell r="A9" t="str">
            <v>Gulmatico, Joyce A.</v>
          </cell>
          <cell r="B9" t="str">
            <v>ok</v>
          </cell>
          <cell r="C9" t="str">
            <v>Gulmatico, Joyce A.</v>
          </cell>
          <cell r="D9">
            <v>9249537796</v>
          </cell>
          <cell r="E9">
            <v>34483.339999999997</v>
          </cell>
          <cell r="F9">
            <v>34483.33</v>
          </cell>
          <cell r="G9">
            <v>68966.67</v>
          </cell>
          <cell r="H9">
            <v>0</v>
          </cell>
          <cell r="J9" t="str">
            <v>ok</v>
          </cell>
          <cell r="K9" t="str">
            <v>Gulmatico, Joyce A.</v>
          </cell>
          <cell r="L9">
            <v>21750</v>
          </cell>
          <cell r="M9">
            <v>2783.33</v>
          </cell>
          <cell r="N9">
            <v>900</v>
          </cell>
          <cell r="O9">
            <v>0</v>
          </cell>
          <cell r="P9">
            <v>100</v>
          </cell>
          <cell r="Q9">
            <v>1200</v>
          </cell>
          <cell r="R9">
            <v>0</v>
          </cell>
          <cell r="S9">
            <v>400</v>
          </cell>
          <cell r="T9">
            <v>0</v>
          </cell>
          <cell r="U9">
            <v>0</v>
          </cell>
          <cell r="V9">
            <v>0</v>
          </cell>
          <cell r="W9">
            <v>183.33</v>
          </cell>
          <cell r="X9">
            <v>50000</v>
          </cell>
          <cell r="Y9">
            <v>34483.339999999997</v>
          </cell>
          <cell r="Z9">
            <v>34483.33</v>
          </cell>
          <cell r="AA9">
            <v>68966.67</v>
          </cell>
          <cell r="AE9" t="str">
            <v>ok</v>
          </cell>
          <cell r="AF9" t="str">
            <v>Gulmatico, Joyce A.</v>
          </cell>
          <cell r="AG9">
            <v>20000</v>
          </cell>
          <cell r="AI9">
            <v>1750.0000000000005</v>
          </cell>
          <cell r="AN9">
            <v>21750</v>
          </cell>
          <cell r="AP9" t="str">
            <v>ok</v>
          </cell>
          <cell r="AQ9" t="str">
            <v>Gulmatico, Joyce A.</v>
          </cell>
          <cell r="AS9">
            <v>900</v>
          </cell>
          <cell r="AT9">
            <v>0</v>
          </cell>
          <cell r="AU9">
            <v>100</v>
          </cell>
          <cell r="AV9">
            <v>1200</v>
          </cell>
          <cell r="AW9">
            <v>0</v>
          </cell>
          <cell r="AX9">
            <v>400</v>
          </cell>
          <cell r="AY9">
            <v>0</v>
          </cell>
          <cell r="AZ9">
            <v>0</v>
          </cell>
          <cell r="BA9">
            <v>0</v>
          </cell>
        </row>
        <row r="10">
          <cell r="A10" t="str">
            <v>Manuel, Maria Fe M.</v>
          </cell>
          <cell r="B10" t="str">
            <v>ok</v>
          </cell>
          <cell r="C10" t="str">
            <v>Manuel, Maria Fe M.</v>
          </cell>
          <cell r="D10">
            <v>9249537788</v>
          </cell>
          <cell r="E10">
            <v>35083.339999999997</v>
          </cell>
          <cell r="F10">
            <v>35083.33</v>
          </cell>
          <cell r="G10">
            <v>70166.67</v>
          </cell>
          <cell r="H10">
            <v>0</v>
          </cell>
          <cell r="J10" t="str">
            <v>ok</v>
          </cell>
          <cell r="K10" t="str">
            <v>Manuel, Maria Fe M.</v>
          </cell>
          <cell r="L10">
            <v>21750</v>
          </cell>
          <cell r="M10">
            <v>1583.33</v>
          </cell>
          <cell r="N10">
            <v>900</v>
          </cell>
          <cell r="O10">
            <v>0</v>
          </cell>
          <cell r="P10">
            <v>100</v>
          </cell>
          <cell r="Q10">
            <v>0</v>
          </cell>
          <cell r="R10">
            <v>0</v>
          </cell>
          <cell r="S10">
            <v>400</v>
          </cell>
          <cell r="T10">
            <v>0</v>
          </cell>
          <cell r="U10">
            <v>0</v>
          </cell>
          <cell r="V10">
            <v>0</v>
          </cell>
          <cell r="W10">
            <v>183.33</v>
          </cell>
          <cell r="X10">
            <v>50000</v>
          </cell>
          <cell r="Y10">
            <v>35083.339999999997</v>
          </cell>
          <cell r="Z10">
            <v>35083.33</v>
          </cell>
          <cell r="AA10">
            <v>70166.67</v>
          </cell>
          <cell r="AE10" t="str">
            <v>ok</v>
          </cell>
          <cell r="AF10" t="str">
            <v>Manuel, Maria Fe M.</v>
          </cell>
          <cell r="AG10">
            <v>20000</v>
          </cell>
          <cell r="AI10">
            <v>1750.0000000000005</v>
          </cell>
          <cell r="AN10">
            <v>21750</v>
          </cell>
          <cell r="AP10" t="str">
            <v>ok</v>
          </cell>
          <cell r="AQ10" t="str">
            <v>Manuel, Maria Fe M.</v>
          </cell>
          <cell r="AS10">
            <v>900</v>
          </cell>
          <cell r="AT10">
            <v>0</v>
          </cell>
          <cell r="AU10">
            <v>100</v>
          </cell>
          <cell r="AV10">
            <v>0</v>
          </cell>
          <cell r="AW10">
            <v>0</v>
          </cell>
          <cell r="AX10">
            <v>400</v>
          </cell>
          <cell r="AY10">
            <v>0</v>
          </cell>
          <cell r="AZ10">
            <v>0</v>
          </cell>
          <cell r="BA10">
            <v>0</v>
          </cell>
        </row>
        <row r="11">
          <cell r="A11" t="str">
            <v>Salveron, John V.</v>
          </cell>
          <cell r="B11" t="str">
            <v>ok</v>
          </cell>
          <cell r="C11" t="str">
            <v>Salveron, John V.</v>
          </cell>
          <cell r="D11">
            <v>9249537702</v>
          </cell>
          <cell r="E11">
            <v>14349.87</v>
          </cell>
          <cell r="F11">
            <v>14349.86</v>
          </cell>
          <cell r="G11">
            <v>28699.73</v>
          </cell>
          <cell r="H11">
            <v>0</v>
          </cell>
          <cell r="J11" t="str">
            <v>ok</v>
          </cell>
          <cell r="K11" t="str">
            <v>Salveron, John V.</v>
          </cell>
          <cell r="L11">
            <v>22886.36</v>
          </cell>
          <cell r="M11">
            <v>4436.63</v>
          </cell>
          <cell r="N11">
            <v>900</v>
          </cell>
          <cell r="O11">
            <v>0</v>
          </cell>
          <cell r="P11">
            <v>100</v>
          </cell>
          <cell r="Q11">
            <v>0</v>
          </cell>
          <cell r="R11">
            <v>2626.02</v>
          </cell>
          <cell r="S11">
            <v>400</v>
          </cell>
          <cell r="T11">
            <v>0</v>
          </cell>
          <cell r="U11">
            <v>0</v>
          </cell>
          <cell r="V11">
            <v>0</v>
          </cell>
          <cell r="W11">
            <v>410.61</v>
          </cell>
          <cell r="X11">
            <v>10250</v>
          </cell>
          <cell r="Y11">
            <v>14349.87</v>
          </cell>
          <cell r="Z11">
            <v>14349.859999999999</v>
          </cell>
          <cell r="AA11">
            <v>28699.73</v>
          </cell>
          <cell r="AE11" t="str">
            <v>ok</v>
          </cell>
          <cell r="AF11" t="str">
            <v>Salveron, John V.</v>
          </cell>
          <cell r="AG11">
            <v>20000</v>
          </cell>
          <cell r="AI11">
            <v>1750.0000000000005</v>
          </cell>
          <cell r="AJ11">
            <v>1136.3636363636365</v>
          </cell>
          <cell r="AN11">
            <v>22886.36</v>
          </cell>
          <cell r="AP11" t="str">
            <v>ok</v>
          </cell>
          <cell r="AQ11" t="str">
            <v>Salveron, John V.</v>
          </cell>
          <cell r="AS11">
            <v>900</v>
          </cell>
          <cell r="AT11">
            <v>0</v>
          </cell>
          <cell r="AU11">
            <v>100</v>
          </cell>
          <cell r="AV11">
            <v>0</v>
          </cell>
          <cell r="AW11">
            <v>2626.02</v>
          </cell>
          <cell r="AX11">
            <v>400</v>
          </cell>
          <cell r="AY11">
            <v>0</v>
          </cell>
          <cell r="AZ11">
            <v>0</v>
          </cell>
          <cell r="BA11">
            <v>0</v>
          </cell>
        </row>
        <row r="12">
          <cell r="A12" t="str">
            <v>Almorin, Mary Flor S.</v>
          </cell>
          <cell r="B12" t="str">
            <v>ok</v>
          </cell>
          <cell r="C12" t="str">
            <v>Almorin, Mary Flor S.</v>
          </cell>
          <cell r="D12">
            <v>9249537672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ok</v>
          </cell>
          <cell r="K12" t="str">
            <v>Almorin, Mary Flor S.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 t="str">
            <v>ok</v>
          </cell>
          <cell r="AF12" t="str">
            <v>Almorin, Mary Flor S.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str">
            <v>ok</v>
          </cell>
          <cell r="AQ12" t="str">
            <v>Almorin, Mary Flor S.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A13" t="str">
            <v>Mateo Jr., Romeo A.</v>
          </cell>
          <cell r="B13" t="str">
            <v>ok</v>
          </cell>
          <cell r="C13" t="str">
            <v>Mateo Jr., Romeo A.</v>
          </cell>
          <cell r="D13">
            <v>9249537877</v>
          </cell>
          <cell r="E13">
            <v>17583.34</v>
          </cell>
          <cell r="F13">
            <v>17583.330000000002</v>
          </cell>
          <cell r="G13">
            <v>35166.67</v>
          </cell>
          <cell r="H13">
            <v>0</v>
          </cell>
          <cell r="J13" t="str">
            <v>ok</v>
          </cell>
          <cell r="K13" t="str">
            <v>Mateo Jr., Romeo A.</v>
          </cell>
          <cell r="L13">
            <v>21750</v>
          </cell>
          <cell r="M13">
            <v>1583.33</v>
          </cell>
          <cell r="N13">
            <v>900</v>
          </cell>
          <cell r="O13">
            <v>0</v>
          </cell>
          <cell r="P13">
            <v>100</v>
          </cell>
          <cell r="Q13">
            <v>0</v>
          </cell>
          <cell r="R13">
            <v>0</v>
          </cell>
          <cell r="S13">
            <v>400</v>
          </cell>
          <cell r="T13">
            <v>0</v>
          </cell>
          <cell r="U13">
            <v>0</v>
          </cell>
          <cell r="V13">
            <v>0</v>
          </cell>
          <cell r="W13">
            <v>183.33</v>
          </cell>
          <cell r="X13">
            <v>15000</v>
          </cell>
          <cell r="Y13">
            <v>17583.34</v>
          </cell>
          <cell r="Z13">
            <v>17583.329999999998</v>
          </cell>
          <cell r="AA13">
            <v>35166.67</v>
          </cell>
          <cell r="AE13" t="str">
            <v>ok</v>
          </cell>
          <cell r="AF13" t="str">
            <v>Mateo Jr., Romeo A.</v>
          </cell>
          <cell r="AG13">
            <v>20000</v>
          </cell>
          <cell r="AI13">
            <v>1750.0000000000005</v>
          </cell>
          <cell r="AN13">
            <v>21750</v>
          </cell>
          <cell r="AP13" t="str">
            <v>ok</v>
          </cell>
          <cell r="AQ13" t="str">
            <v>Mateo Jr., Romeo A.</v>
          </cell>
          <cell r="AS13">
            <v>900</v>
          </cell>
          <cell r="AT13">
            <v>0</v>
          </cell>
          <cell r="AU13">
            <v>100</v>
          </cell>
          <cell r="AV13">
            <v>0</v>
          </cell>
          <cell r="AW13">
            <v>0</v>
          </cell>
          <cell r="AX13">
            <v>400</v>
          </cell>
          <cell r="AY13">
            <v>0</v>
          </cell>
          <cell r="AZ13">
            <v>0</v>
          </cell>
          <cell r="BA13">
            <v>0</v>
          </cell>
        </row>
        <row r="14">
          <cell r="A14" t="str">
            <v>Villaruz, Roger C.</v>
          </cell>
          <cell r="B14" t="str">
            <v>ok</v>
          </cell>
          <cell r="C14" t="str">
            <v>Villaruz, Roger C.</v>
          </cell>
          <cell r="D14">
            <v>9249537729</v>
          </cell>
          <cell r="E14">
            <v>17583.34</v>
          </cell>
          <cell r="F14">
            <v>17583.330000000002</v>
          </cell>
          <cell r="G14">
            <v>35166.67</v>
          </cell>
          <cell r="H14">
            <v>0</v>
          </cell>
          <cell r="J14" t="str">
            <v>ok</v>
          </cell>
          <cell r="K14" t="str">
            <v>Villaruz, Roger C.</v>
          </cell>
          <cell r="L14">
            <v>21750</v>
          </cell>
          <cell r="M14">
            <v>1583.33</v>
          </cell>
          <cell r="N14">
            <v>900</v>
          </cell>
          <cell r="O14">
            <v>0</v>
          </cell>
          <cell r="P14">
            <v>100</v>
          </cell>
          <cell r="Q14">
            <v>0</v>
          </cell>
          <cell r="R14">
            <v>0</v>
          </cell>
          <cell r="S14">
            <v>400</v>
          </cell>
          <cell r="T14">
            <v>0</v>
          </cell>
          <cell r="U14">
            <v>0</v>
          </cell>
          <cell r="V14">
            <v>0</v>
          </cell>
          <cell r="W14">
            <v>183.33</v>
          </cell>
          <cell r="X14">
            <v>15000</v>
          </cell>
          <cell r="Y14">
            <v>17583.34</v>
          </cell>
          <cell r="Z14">
            <v>17583.329999999998</v>
          </cell>
          <cell r="AA14">
            <v>35166.67</v>
          </cell>
          <cell r="AE14" t="str">
            <v>ok</v>
          </cell>
          <cell r="AF14" t="str">
            <v>Villaruz, Roger C.</v>
          </cell>
          <cell r="AG14">
            <v>20000</v>
          </cell>
          <cell r="AI14">
            <v>1750.0000000000005</v>
          </cell>
          <cell r="AN14">
            <v>21750</v>
          </cell>
          <cell r="AP14" t="str">
            <v>ok</v>
          </cell>
          <cell r="AQ14" t="str">
            <v>Villaruz, Roger C.</v>
          </cell>
          <cell r="AS14">
            <v>900</v>
          </cell>
          <cell r="AT14">
            <v>0</v>
          </cell>
          <cell r="AU14">
            <v>100</v>
          </cell>
          <cell r="AV14">
            <v>0</v>
          </cell>
          <cell r="AW14">
            <v>0</v>
          </cell>
          <cell r="AX14">
            <v>400</v>
          </cell>
          <cell r="AY14">
            <v>0</v>
          </cell>
          <cell r="AZ14">
            <v>0</v>
          </cell>
          <cell r="BA14">
            <v>0</v>
          </cell>
        </row>
        <row r="15">
          <cell r="A15" t="str">
            <v>Alinsangan, Mary Hannah</v>
          </cell>
          <cell r="B15" t="str">
            <v>ok</v>
          </cell>
          <cell r="C15" t="str">
            <v>Alinsangan, Mary Hannah</v>
          </cell>
          <cell r="D15">
            <v>9249539462</v>
          </cell>
          <cell r="E15">
            <v>10436.52</v>
          </cell>
          <cell r="F15">
            <v>10436.51</v>
          </cell>
          <cell r="G15">
            <v>20873.03</v>
          </cell>
          <cell r="H15">
            <v>0</v>
          </cell>
          <cell r="J15" t="str">
            <v>ok</v>
          </cell>
          <cell r="K15" t="str">
            <v>Alinsangan, Mary Hannah</v>
          </cell>
          <cell r="L15">
            <v>22551.7</v>
          </cell>
          <cell r="M15">
            <v>1678.67</v>
          </cell>
          <cell r="N15">
            <v>855</v>
          </cell>
          <cell r="O15">
            <v>0</v>
          </cell>
          <cell r="P15">
            <v>100</v>
          </cell>
          <cell r="Q15">
            <v>0</v>
          </cell>
          <cell r="R15">
            <v>0</v>
          </cell>
          <cell r="S15">
            <v>380</v>
          </cell>
          <cell r="T15">
            <v>0</v>
          </cell>
          <cell r="U15">
            <v>0</v>
          </cell>
          <cell r="V15">
            <v>0</v>
          </cell>
          <cell r="W15">
            <v>343.67</v>
          </cell>
          <cell r="X15">
            <v>0</v>
          </cell>
          <cell r="Y15">
            <v>10436.52</v>
          </cell>
          <cell r="Z15">
            <v>10436.509999999998</v>
          </cell>
          <cell r="AA15">
            <v>20873.03</v>
          </cell>
          <cell r="AE15" t="str">
            <v>ok</v>
          </cell>
          <cell r="AF15" t="str">
            <v>Alinsangan, Mary Hannah</v>
          </cell>
          <cell r="AG15">
            <v>19000</v>
          </cell>
          <cell r="AI15">
            <v>1662.5000000000002</v>
          </cell>
          <cell r="AJ15">
            <v>1889.2045454545455</v>
          </cell>
          <cell r="AN15">
            <v>22551.7</v>
          </cell>
          <cell r="AP15" t="str">
            <v>ok</v>
          </cell>
          <cell r="AQ15" t="str">
            <v>Alinsangan, Mary Hannah</v>
          </cell>
          <cell r="AS15">
            <v>855</v>
          </cell>
          <cell r="AT15">
            <v>0</v>
          </cell>
          <cell r="AU15">
            <v>100</v>
          </cell>
          <cell r="AV15">
            <v>0</v>
          </cell>
          <cell r="AW15">
            <v>0</v>
          </cell>
          <cell r="AX15">
            <v>380</v>
          </cell>
          <cell r="AY15">
            <v>0</v>
          </cell>
          <cell r="AZ15">
            <v>0</v>
          </cell>
          <cell r="BA15">
            <v>0</v>
          </cell>
        </row>
        <row r="16">
          <cell r="A16" t="str">
            <v>Guinanao, Jelyn</v>
          </cell>
          <cell r="B16" t="str">
            <v>ok</v>
          </cell>
          <cell r="C16" t="str">
            <v>Guinanao, Jelyn</v>
          </cell>
          <cell r="D16">
            <v>9249541513</v>
          </cell>
          <cell r="E16">
            <v>10921.87</v>
          </cell>
          <cell r="F16">
            <v>10921.87</v>
          </cell>
          <cell r="G16">
            <v>21843.74</v>
          </cell>
          <cell r="H16">
            <v>0</v>
          </cell>
          <cell r="J16" t="str">
            <v>ok</v>
          </cell>
          <cell r="K16" t="str">
            <v>Guinanao, Jelyn</v>
          </cell>
          <cell r="L16">
            <v>24022.73</v>
          </cell>
          <cell r="M16">
            <v>5178.99</v>
          </cell>
          <cell r="N16">
            <v>900</v>
          </cell>
          <cell r="O16">
            <v>979.49</v>
          </cell>
          <cell r="P16">
            <v>100</v>
          </cell>
          <cell r="Q16">
            <v>400</v>
          </cell>
          <cell r="R16">
            <v>1761.62</v>
          </cell>
          <cell r="S16">
            <v>400</v>
          </cell>
          <cell r="T16">
            <v>0</v>
          </cell>
          <cell r="U16">
            <v>0</v>
          </cell>
          <cell r="V16">
            <v>0</v>
          </cell>
          <cell r="W16">
            <v>637.88</v>
          </cell>
          <cell r="X16">
            <v>3000</v>
          </cell>
          <cell r="Y16">
            <v>10921.87</v>
          </cell>
          <cell r="Z16">
            <v>10921.869999999997</v>
          </cell>
          <cell r="AA16">
            <v>21843.739999999998</v>
          </cell>
          <cell r="AE16" t="str">
            <v>ok</v>
          </cell>
          <cell r="AF16" t="str">
            <v>Guinanao, Jelyn</v>
          </cell>
          <cell r="AG16">
            <v>20000</v>
          </cell>
          <cell r="AI16">
            <v>1750.0000000000005</v>
          </cell>
          <cell r="AJ16">
            <v>2272.727272727273</v>
          </cell>
          <cell r="AN16">
            <v>24022.73</v>
          </cell>
          <cell r="AP16" t="str">
            <v>ok</v>
          </cell>
          <cell r="AQ16" t="str">
            <v>Guinanao, Jelyn</v>
          </cell>
          <cell r="AS16">
            <v>900</v>
          </cell>
          <cell r="AT16">
            <v>979.49</v>
          </cell>
          <cell r="AU16">
            <v>100</v>
          </cell>
          <cell r="AV16">
            <v>400</v>
          </cell>
          <cell r="AW16">
            <v>1761.62</v>
          </cell>
          <cell r="AX16">
            <v>400</v>
          </cell>
          <cell r="AY16">
            <v>0</v>
          </cell>
          <cell r="AZ16">
            <v>0</v>
          </cell>
          <cell r="BA16">
            <v>0</v>
          </cell>
        </row>
        <row r="17">
          <cell r="A17" t="str">
            <v>Buño, Ernesto Jr</v>
          </cell>
          <cell r="B17" t="str">
            <v>ok</v>
          </cell>
          <cell r="C17" t="str">
            <v>Buño, Ernesto Jr</v>
          </cell>
          <cell r="D17">
            <v>9249526662</v>
          </cell>
          <cell r="E17">
            <v>22583.34</v>
          </cell>
          <cell r="F17">
            <v>22583.33</v>
          </cell>
          <cell r="G17">
            <v>45166.67</v>
          </cell>
          <cell r="H17">
            <v>0</v>
          </cell>
          <cell r="J17" t="str">
            <v>ok</v>
          </cell>
          <cell r="K17" t="str">
            <v>Buño, Ernesto Jr</v>
          </cell>
          <cell r="L17">
            <v>21750</v>
          </cell>
          <cell r="M17">
            <v>1583.33</v>
          </cell>
          <cell r="N17">
            <v>900</v>
          </cell>
          <cell r="O17">
            <v>0</v>
          </cell>
          <cell r="P17">
            <v>100</v>
          </cell>
          <cell r="Q17">
            <v>0</v>
          </cell>
          <cell r="R17">
            <v>0</v>
          </cell>
          <cell r="S17">
            <v>400</v>
          </cell>
          <cell r="T17">
            <v>0</v>
          </cell>
          <cell r="U17">
            <v>0</v>
          </cell>
          <cell r="V17">
            <v>0</v>
          </cell>
          <cell r="W17">
            <v>183.33</v>
          </cell>
          <cell r="X17">
            <v>25000</v>
          </cell>
          <cell r="Y17">
            <v>22583.33</v>
          </cell>
          <cell r="Z17">
            <v>22583.329999999994</v>
          </cell>
          <cell r="AA17">
            <v>45166.659999999996</v>
          </cell>
          <cell r="AE17" t="str">
            <v>ok</v>
          </cell>
          <cell r="AF17" t="str">
            <v>Buño, Ernesto Jr</v>
          </cell>
          <cell r="AG17">
            <v>20000</v>
          </cell>
          <cell r="AI17">
            <v>1750.0000000000005</v>
          </cell>
          <cell r="AN17">
            <v>21750</v>
          </cell>
          <cell r="AP17" t="str">
            <v>ok</v>
          </cell>
          <cell r="AQ17" t="str">
            <v>Buño, Ernesto Jr</v>
          </cell>
          <cell r="AS17">
            <v>900</v>
          </cell>
          <cell r="AT17">
            <v>0</v>
          </cell>
          <cell r="AU17">
            <v>100</v>
          </cell>
          <cell r="AV17">
            <v>0</v>
          </cell>
          <cell r="AW17">
            <v>0</v>
          </cell>
          <cell r="AX17">
            <v>400</v>
          </cell>
          <cell r="AY17">
            <v>0</v>
          </cell>
          <cell r="AZ17">
            <v>0</v>
          </cell>
          <cell r="BA17">
            <v>0</v>
          </cell>
        </row>
        <row r="18">
          <cell r="A18" t="str">
            <v>Panganiban, Janine</v>
          </cell>
          <cell r="B18" t="str">
            <v>ok</v>
          </cell>
          <cell r="C18" t="str">
            <v>Panganiban, Janine</v>
          </cell>
          <cell r="D18">
            <v>9249547155</v>
          </cell>
          <cell r="E18">
            <v>10655.06</v>
          </cell>
          <cell r="F18">
            <v>10655.05</v>
          </cell>
          <cell r="G18">
            <v>21310.11</v>
          </cell>
          <cell r="H18">
            <v>0</v>
          </cell>
          <cell r="J18" t="str">
            <v>ok</v>
          </cell>
          <cell r="K18" t="str">
            <v>Panganiban, Janine</v>
          </cell>
          <cell r="L18">
            <v>21750</v>
          </cell>
          <cell r="M18">
            <v>2439.89</v>
          </cell>
          <cell r="N18">
            <v>900</v>
          </cell>
          <cell r="O18">
            <v>856.56</v>
          </cell>
          <cell r="P18">
            <v>100</v>
          </cell>
          <cell r="Q18">
            <v>0</v>
          </cell>
          <cell r="R18">
            <v>0</v>
          </cell>
          <cell r="S18">
            <v>400</v>
          </cell>
          <cell r="T18">
            <v>0</v>
          </cell>
          <cell r="U18">
            <v>0</v>
          </cell>
          <cell r="V18">
            <v>0</v>
          </cell>
          <cell r="W18">
            <v>183.33</v>
          </cell>
          <cell r="X18">
            <v>2000</v>
          </cell>
          <cell r="Y18">
            <v>10655.05</v>
          </cell>
          <cell r="Z18">
            <v>10655.050000000003</v>
          </cell>
          <cell r="AA18">
            <v>21310.100000000002</v>
          </cell>
          <cell r="AE18" t="str">
            <v>ok</v>
          </cell>
          <cell r="AF18" t="str">
            <v>Panganiban, Janine</v>
          </cell>
          <cell r="AG18">
            <v>20000</v>
          </cell>
          <cell r="AI18">
            <v>1750.0000000000005</v>
          </cell>
          <cell r="AN18">
            <v>21750</v>
          </cell>
          <cell r="AP18" t="str">
            <v>ok</v>
          </cell>
          <cell r="AQ18" t="str">
            <v>Panganiban, Janine</v>
          </cell>
          <cell r="AS18">
            <v>900</v>
          </cell>
          <cell r="AT18">
            <v>856.56</v>
          </cell>
          <cell r="AU18">
            <v>100</v>
          </cell>
          <cell r="AV18">
            <v>0</v>
          </cell>
          <cell r="AW18">
            <v>0</v>
          </cell>
          <cell r="AX18">
            <v>400</v>
          </cell>
          <cell r="AY18">
            <v>0</v>
          </cell>
          <cell r="AZ18">
            <v>0</v>
          </cell>
          <cell r="BA18">
            <v>0</v>
          </cell>
        </row>
        <row r="19">
          <cell r="A19" t="str">
            <v>Divinagracia, Vince Angelo</v>
          </cell>
          <cell r="B19" t="str">
            <v>ok</v>
          </cell>
          <cell r="C19" t="str">
            <v>Divinagracia, Vince Angelo</v>
          </cell>
          <cell r="D19">
            <v>9249548585</v>
          </cell>
          <cell r="E19">
            <v>7248.01</v>
          </cell>
          <cell r="F19">
            <v>7248.01</v>
          </cell>
          <cell r="G19">
            <v>14496.02</v>
          </cell>
          <cell r="H19">
            <v>0</v>
          </cell>
          <cell r="J19" t="str">
            <v>ok</v>
          </cell>
          <cell r="K19" t="str">
            <v>Divinagracia, Vince Angelo</v>
          </cell>
          <cell r="L19">
            <v>15571.02</v>
          </cell>
          <cell r="M19">
            <v>1075</v>
          </cell>
          <cell r="N19">
            <v>675</v>
          </cell>
          <cell r="O19">
            <v>0</v>
          </cell>
          <cell r="P19">
            <v>100</v>
          </cell>
          <cell r="Q19">
            <v>0</v>
          </cell>
          <cell r="R19">
            <v>0</v>
          </cell>
          <cell r="S19">
            <v>300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7248.01</v>
          </cell>
          <cell r="Z19">
            <v>7248</v>
          </cell>
          <cell r="AA19">
            <v>14496.01</v>
          </cell>
          <cell r="AE19" t="str">
            <v>ok</v>
          </cell>
          <cell r="AF19" t="str">
            <v>Divinagracia, Vince Angelo</v>
          </cell>
          <cell r="AG19">
            <v>15000</v>
          </cell>
          <cell r="AI19">
            <v>1312.5</v>
          </cell>
          <cell r="AL19">
            <v>741.47727272727298</v>
          </cell>
          <cell r="AN19">
            <v>15571.02</v>
          </cell>
          <cell r="AP19" t="str">
            <v>ok</v>
          </cell>
          <cell r="AQ19" t="str">
            <v>Divinagracia, Vince Angelo</v>
          </cell>
          <cell r="AS19">
            <v>675</v>
          </cell>
          <cell r="AT19">
            <v>0</v>
          </cell>
          <cell r="AU19">
            <v>100</v>
          </cell>
          <cell r="AV19">
            <v>0</v>
          </cell>
          <cell r="AW19">
            <v>0</v>
          </cell>
          <cell r="AX19">
            <v>300</v>
          </cell>
          <cell r="AY19">
            <v>0</v>
          </cell>
          <cell r="AZ19">
            <v>0</v>
          </cell>
          <cell r="BA19">
            <v>0</v>
          </cell>
        </row>
        <row r="20">
          <cell r="A20" t="str">
            <v>Pelayo, Maila</v>
          </cell>
          <cell r="B20" t="str">
            <v>ok</v>
          </cell>
          <cell r="C20" t="str">
            <v>Pelayo, Maila</v>
          </cell>
          <cell r="D20">
            <v>1479270356</v>
          </cell>
          <cell r="E20">
            <v>10083.34</v>
          </cell>
          <cell r="F20">
            <v>10083.33</v>
          </cell>
          <cell r="G20">
            <v>20166.669999999998</v>
          </cell>
          <cell r="H20">
            <v>0</v>
          </cell>
          <cell r="J20" t="str">
            <v>ok</v>
          </cell>
          <cell r="K20" t="str">
            <v>Pelayo, Maila</v>
          </cell>
          <cell r="L20">
            <v>21750</v>
          </cell>
          <cell r="M20">
            <v>1583.33</v>
          </cell>
          <cell r="N20">
            <v>900</v>
          </cell>
          <cell r="O20">
            <v>0</v>
          </cell>
          <cell r="P20">
            <v>100</v>
          </cell>
          <cell r="Q20">
            <v>0</v>
          </cell>
          <cell r="R20">
            <v>0</v>
          </cell>
          <cell r="S20">
            <v>400</v>
          </cell>
          <cell r="T20">
            <v>0</v>
          </cell>
          <cell r="U20">
            <v>0</v>
          </cell>
          <cell r="V20">
            <v>0</v>
          </cell>
          <cell r="W20">
            <v>183.33</v>
          </cell>
          <cell r="X20">
            <v>0</v>
          </cell>
          <cell r="Y20">
            <v>10083.33</v>
          </cell>
          <cell r="Z20">
            <v>10083.33</v>
          </cell>
          <cell r="AA20">
            <v>20166.66</v>
          </cell>
          <cell r="AE20" t="str">
            <v>ok</v>
          </cell>
          <cell r="AF20" t="str">
            <v>Pelayo, Maila</v>
          </cell>
          <cell r="AG20">
            <v>20000</v>
          </cell>
          <cell r="AI20">
            <v>1750.0000000000005</v>
          </cell>
          <cell r="AN20">
            <v>21750</v>
          </cell>
          <cell r="AP20" t="str">
            <v>ok</v>
          </cell>
          <cell r="AQ20" t="str">
            <v>Pelayo, Maila</v>
          </cell>
          <cell r="AS20">
            <v>900</v>
          </cell>
          <cell r="AT20">
            <v>0</v>
          </cell>
          <cell r="AU20">
            <v>100</v>
          </cell>
          <cell r="AV20">
            <v>0</v>
          </cell>
          <cell r="AW20">
            <v>0</v>
          </cell>
          <cell r="AX20">
            <v>400</v>
          </cell>
          <cell r="AY20">
            <v>0</v>
          </cell>
          <cell r="AZ20">
            <v>0</v>
          </cell>
          <cell r="BA20">
            <v>0</v>
          </cell>
        </row>
        <row r="21">
          <cell r="A21" t="str">
            <v>Mulang, Kristine Alexis</v>
          </cell>
          <cell r="B21" t="str">
            <v>ok</v>
          </cell>
          <cell r="C21" t="str">
            <v>Mulang, Kristine Alexis</v>
          </cell>
          <cell r="D21">
            <v>9249550113</v>
          </cell>
          <cell r="E21">
            <v>7358.81</v>
          </cell>
          <cell r="F21">
            <v>7358.8</v>
          </cell>
          <cell r="G21">
            <v>14717.61</v>
          </cell>
          <cell r="H21">
            <v>0</v>
          </cell>
          <cell r="J21" t="str">
            <v>ok</v>
          </cell>
          <cell r="K21" t="str">
            <v>Mulang, Kristine Alexis</v>
          </cell>
          <cell r="L21">
            <v>15792.61</v>
          </cell>
          <cell r="M21">
            <v>1075</v>
          </cell>
          <cell r="N21">
            <v>675</v>
          </cell>
          <cell r="O21">
            <v>0</v>
          </cell>
          <cell r="P21">
            <v>100</v>
          </cell>
          <cell r="Q21">
            <v>0</v>
          </cell>
          <cell r="R21">
            <v>0</v>
          </cell>
          <cell r="S21">
            <v>300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7358.8</v>
          </cell>
          <cell r="Z21">
            <v>7358.8</v>
          </cell>
          <cell r="AA21">
            <v>14717.6</v>
          </cell>
          <cell r="AE21" t="str">
            <v>ok</v>
          </cell>
          <cell r="AF21" t="str">
            <v>Mulang, Kristine Alexis</v>
          </cell>
          <cell r="AG21">
            <v>15000</v>
          </cell>
          <cell r="AI21">
            <v>1312.5</v>
          </cell>
          <cell r="AJ21">
            <v>1704.5454545454547</v>
          </cell>
          <cell r="AL21">
            <v>2224.4318181818198</v>
          </cell>
          <cell r="AN21">
            <v>15792.61</v>
          </cell>
          <cell r="AP21" t="str">
            <v>ok</v>
          </cell>
          <cell r="AQ21" t="str">
            <v>Mulang, Kristine Alexis</v>
          </cell>
          <cell r="AS21">
            <v>675</v>
          </cell>
          <cell r="AT21">
            <v>0</v>
          </cell>
          <cell r="AU21">
            <v>100</v>
          </cell>
          <cell r="AV21">
            <v>0</v>
          </cell>
          <cell r="AW21">
            <v>0</v>
          </cell>
          <cell r="AX21">
            <v>300</v>
          </cell>
          <cell r="AY21">
            <v>0</v>
          </cell>
          <cell r="AZ21">
            <v>0</v>
          </cell>
          <cell r="BA21">
            <v>0</v>
          </cell>
        </row>
        <row r="22">
          <cell r="A22" t="str">
            <v>Dalisay, Rona Amor</v>
          </cell>
          <cell r="B22" t="str">
            <v>ok</v>
          </cell>
          <cell r="C22" t="str">
            <v>Dalisay, Rona Amor</v>
          </cell>
          <cell r="D22">
            <v>9249549042</v>
          </cell>
          <cell r="E22">
            <v>8707.61</v>
          </cell>
          <cell r="F22">
            <v>8707.6200000000008</v>
          </cell>
          <cell r="G22">
            <v>17415.23</v>
          </cell>
          <cell r="H22">
            <v>0</v>
          </cell>
          <cell r="J22" t="str">
            <v>ok</v>
          </cell>
          <cell r="K22" t="str">
            <v>Dalisay, Rona Amor</v>
          </cell>
          <cell r="L22">
            <v>18685.23</v>
          </cell>
          <cell r="M22">
            <v>1270</v>
          </cell>
          <cell r="N22">
            <v>810</v>
          </cell>
          <cell r="O22">
            <v>0</v>
          </cell>
          <cell r="P22">
            <v>100</v>
          </cell>
          <cell r="Q22">
            <v>0</v>
          </cell>
          <cell r="R22">
            <v>0</v>
          </cell>
          <cell r="S22">
            <v>360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8707.61</v>
          </cell>
          <cell r="Z22">
            <v>8707.61</v>
          </cell>
          <cell r="AA22">
            <v>17415.22</v>
          </cell>
          <cell r="AE22" t="str">
            <v>ok</v>
          </cell>
          <cell r="AF22" t="str">
            <v>Dalisay, Rona Amor</v>
          </cell>
          <cell r="AG22">
            <v>18000</v>
          </cell>
          <cell r="AI22">
            <v>1575</v>
          </cell>
          <cell r="AL22">
            <v>889.77272727272702</v>
          </cell>
          <cell r="AN22">
            <v>18685.23</v>
          </cell>
          <cell r="AP22" t="str">
            <v>ok</v>
          </cell>
          <cell r="AQ22" t="str">
            <v>Dalisay, Rona Amor</v>
          </cell>
          <cell r="AS22">
            <v>810</v>
          </cell>
          <cell r="AT22">
            <v>0</v>
          </cell>
          <cell r="AU22">
            <v>100</v>
          </cell>
          <cell r="AV22">
            <v>0</v>
          </cell>
          <cell r="AW22">
            <v>0</v>
          </cell>
          <cell r="AX22">
            <v>360</v>
          </cell>
          <cell r="AY22">
            <v>0</v>
          </cell>
          <cell r="AZ22">
            <v>0</v>
          </cell>
          <cell r="BA22">
            <v>0</v>
          </cell>
        </row>
        <row r="23">
          <cell r="A23" t="str">
            <v>Billones, Angelo</v>
          </cell>
          <cell r="B23" t="str">
            <v>ok</v>
          </cell>
          <cell r="C23" t="str">
            <v>Billones, Angelo</v>
          </cell>
          <cell r="D23">
            <v>9249553171</v>
          </cell>
          <cell r="E23">
            <v>12583.34</v>
          </cell>
          <cell r="F23">
            <v>12583.33</v>
          </cell>
          <cell r="G23">
            <v>25166.67</v>
          </cell>
          <cell r="H23">
            <v>0</v>
          </cell>
          <cell r="J23" t="str">
            <v>ok</v>
          </cell>
          <cell r="K23" t="str">
            <v>Billones, Angelo</v>
          </cell>
          <cell r="L23">
            <v>21750</v>
          </cell>
          <cell r="M23">
            <v>1583.33</v>
          </cell>
          <cell r="N23">
            <v>900</v>
          </cell>
          <cell r="O23">
            <v>0</v>
          </cell>
          <cell r="P23">
            <v>100</v>
          </cell>
          <cell r="Q23">
            <v>0</v>
          </cell>
          <cell r="R23">
            <v>0</v>
          </cell>
          <cell r="S23">
            <v>400</v>
          </cell>
          <cell r="T23">
            <v>0</v>
          </cell>
          <cell r="U23">
            <v>0</v>
          </cell>
          <cell r="V23">
            <v>0</v>
          </cell>
          <cell r="W23">
            <v>183.33</v>
          </cell>
          <cell r="X23">
            <v>5000</v>
          </cell>
          <cell r="Y23">
            <v>12583.33</v>
          </cell>
          <cell r="Z23">
            <v>12583.33</v>
          </cell>
          <cell r="AA23">
            <v>25166.66</v>
          </cell>
          <cell r="AE23" t="str">
            <v>ok</v>
          </cell>
          <cell r="AF23" t="str">
            <v>Billones, Angelo</v>
          </cell>
          <cell r="AG23">
            <v>20000</v>
          </cell>
          <cell r="AI23">
            <v>1750.0000000000005</v>
          </cell>
          <cell r="AN23">
            <v>21750</v>
          </cell>
          <cell r="AP23" t="str">
            <v>ok</v>
          </cell>
          <cell r="AQ23" t="str">
            <v>Billones, Angelo</v>
          </cell>
          <cell r="AS23">
            <v>900</v>
          </cell>
          <cell r="AT23">
            <v>0</v>
          </cell>
          <cell r="AU23">
            <v>100</v>
          </cell>
          <cell r="AV23">
            <v>0</v>
          </cell>
          <cell r="AW23">
            <v>0</v>
          </cell>
          <cell r="AX23">
            <v>400</v>
          </cell>
          <cell r="AY23">
            <v>0</v>
          </cell>
          <cell r="AZ23">
            <v>0</v>
          </cell>
          <cell r="BA23">
            <v>0</v>
          </cell>
        </row>
        <row r="24">
          <cell r="A24" t="str">
            <v xml:space="preserve">Demagiba, Wennie </v>
          </cell>
          <cell r="B24" t="str">
            <v>ok</v>
          </cell>
          <cell r="C24" t="str">
            <v xml:space="preserve">Demagiba, Wennie </v>
          </cell>
          <cell r="D24">
            <v>9249553198</v>
          </cell>
          <cell r="E24">
            <v>7248.01</v>
          </cell>
          <cell r="F24">
            <v>7248.01</v>
          </cell>
          <cell r="G24">
            <v>14496.02</v>
          </cell>
          <cell r="H24">
            <v>0</v>
          </cell>
          <cell r="J24" t="str">
            <v>ok</v>
          </cell>
          <cell r="K24" t="str">
            <v xml:space="preserve">Demagiba, Wennie </v>
          </cell>
          <cell r="L24">
            <v>15571.02</v>
          </cell>
          <cell r="M24">
            <v>1075</v>
          </cell>
          <cell r="N24">
            <v>675</v>
          </cell>
          <cell r="O24">
            <v>0</v>
          </cell>
          <cell r="P24">
            <v>100</v>
          </cell>
          <cell r="Q24">
            <v>0</v>
          </cell>
          <cell r="R24">
            <v>0</v>
          </cell>
          <cell r="S24">
            <v>300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7248.01</v>
          </cell>
          <cell r="Z24">
            <v>7248</v>
          </cell>
          <cell r="AA24">
            <v>14496.01</v>
          </cell>
          <cell r="AE24" t="str">
            <v>ok</v>
          </cell>
          <cell r="AF24" t="str">
            <v xml:space="preserve">Demagiba, Wennie </v>
          </cell>
          <cell r="AG24">
            <v>15000</v>
          </cell>
          <cell r="AI24">
            <v>1312.5</v>
          </cell>
          <cell r="AL24">
            <v>741.47727272727298</v>
          </cell>
          <cell r="AN24">
            <v>15571.02</v>
          </cell>
          <cell r="AP24" t="str">
            <v>ok</v>
          </cell>
          <cell r="AQ24" t="str">
            <v xml:space="preserve">Demagiba, Wennie </v>
          </cell>
          <cell r="AS24">
            <v>675</v>
          </cell>
          <cell r="AT24">
            <v>0</v>
          </cell>
          <cell r="AU24">
            <v>100</v>
          </cell>
          <cell r="AV24">
            <v>0</v>
          </cell>
          <cell r="AW24">
            <v>0</v>
          </cell>
          <cell r="AX24">
            <v>300</v>
          </cell>
          <cell r="AY24">
            <v>0</v>
          </cell>
          <cell r="AZ24">
            <v>0</v>
          </cell>
          <cell r="BA24">
            <v>0</v>
          </cell>
        </row>
        <row r="25">
          <cell r="A25" t="str">
            <v>Periodico, Roma</v>
          </cell>
          <cell r="B25" t="str">
            <v>ok</v>
          </cell>
          <cell r="C25" t="str">
            <v>Periodico, Roma</v>
          </cell>
          <cell r="D25">
            <v>9249553163</v>
          </cell>
          <cell r="E25">
            <v>10083.34</v>
          </cell>
          <cell r="F25">
            <v>10083.33</v>
          </cell>
          <cell r="G25">
            <v>20166.669999999998</v>
          </cell>
          <cell r="H25">
            <v>0</v>
          </cell>
          <cell r="J25" t="str">
            <v>ok</v>
          </cell>
          <cell r="K25" t="str">
            <v>Periodico, Roma</v>
          </cell>
          <cell r="L25">
            <v>21750</v>
          </cell>
          <cell r="M25">
            <v>1583.33</v>
          </cell>
          <cell r="N25">
            <v>900</v>
          </cell>
          <cell r="O25">
            <v>0</v>
          </cell>
          <cell r="P25">
            <v>100</v>
          </cell>
          <cell r="Q25">
            <v>0</v>
          </cell>
          <cell r="R25">
            <v>0</v>
          </cell>
          <cell r="S25">
            <v>400</v>
          </cell>
          <cell r="T25">
            <v>0</v>
          </cell>
          <cell r="U25">
            <v>0</v>
          </cell>
          <cell r="V25">
            <v>0</v>
          </cell>
          <cell r="W25">
            <v>183.33</v>
          </cell>
          <cell r="X25">
            <v>0</v>
          </cell>
          <cell r="Y25">
            <v>10083.33</v>
          </cell>
          <cell r="Z25">
            <v>10083.33</v>
          </cell>
          <cell r="AA25">
            <v>20166.66</v>
          </cell>
          <cell r="AE25" t="str">
            <v>ok</v>
          </cell>
          <cell r="AF25" t="str">
            <v>Periodico, Roma</v>
          </cell>
          <cell r="AG25">
            <v>20000</v>
          </cell>
          <cell r="AI25">
            <v>1750.0000000000005</v>
          </cell>
          <cell r="AN25">
            <v>21750</v>
          </cell>
          <cell r="AP25" t="str">
            <v>ok</v>
          </cell>
          <cell r="AQ25" t="str">
            <v>Periodico, Roma</v>
          </cell>
          <cell r="AS25">
            <v>900</v>
          </cell>
          <cell r="AT25">
            <v>0</v>
          </cell>
          <cell r="AU25">
            <v>100</v>
          </cell>
          <cell r="AV25">
            <v>0</v>
          </cell>
          <cell r="AW25">
            <v>0</v>
          </cell>
          <cell r="AX25">
            <v>400</v>
          </cell>
          <cell r="AY25">
            <v>0</v>
          </cell>
          <cell r="AZ25">
            <v>0</v>
          </cell>
          <cell r="BA25">
            <v>0</v>
          </cell>
        </row>
        <row r="26">
          <cell r="A26" t="str">
            <v>Galvez, Phenix John</v>
          </cell>
          <cell r="B26" t="str">
            <v>ok</v>
          </cell>
          <cell r="C26" t="str">
            <v>Galvez, Phenix John</v>
          </cell>
          <cell r="D26">
            <v>9249554208</v>
          </cell>
          <cell r="E26">
            <v>8102.76</v>
          </cell>
          <cell r="F26">
            <v>8102.75</v>
          </cell>
          <cell r="G26">
            <v>16205.51</v>
          </cell>
          <cell r="H26">
            <v>0</v>
          </cell>
          <cell r="J26" t="str">
            <v>ok</v>
          </cell>
          <cell r="K26" t="str">
            <v>Galvez, Phenix John</v>
          </cell>
          <cell r="L26">
            <v>17410.509999999998</v>
          </cell>
          <cell r="M26">
            <v>1205</v>
          </cell>
          <cell r="N26">
            <v>765</v>
          </cell>
          <cell r="O26">
            <v>0</v>
          </cell>
          <cell r="P26">
            <v>100</v>
          </cell>
          <cell r="Q26">
            <v>0</v>
          </cell>
          <cell r="R26">
            <v>0</v>
          </cell>
          <cell r="S26">
            <v>340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8102.75</v>
          </cell>
          <cell r="Z26">
            <v>8102.7499999999982</v>
          </cell>
          <cell r="AA26">
            <v>16205.499999999998</v>
          </cell>
          <cell r="AE26" t="str">
            <v>ok</v>
          </cell>
          <cell r="AF26" t="str">
            <v>Galvez, Phenix John</v>
          </cell>
          <cell r="AG26">
            <v>17000</v>
          </cell>
          <cell r="AI26">
            <v>1487.5000000000002</v>
          </cell>
          <cell r="AJ26">
            <v>603.69318181818187</v>
          </cell>
          <cell r="AL26">
            <v>1680.6818181818201</v>
          </cell>
          <cell r="AN26">
            <v>17410.509999999998</v>
          </cell>
          <cell r="AP26" t="str">
            <v>ok</v>
          </cell>
          <cell r="AQ26" t="str">
            <v>Galvez, Phenix John</v>
          </cell>
          <cell r="AS26">
            <v>765</v>
          </cell>
          <cell r="AT26">
            <v>0</v>
          </cell>
          <cell r="AU26">
            <v>100</v>
          </cell>
          <cell r="AV26">
            <v>0</v>
          </cell>
          <cell r="AW26">
            <v>0</v>
          </cell>
          <cell r="AX26">
            <v>340</v>
          </cell>
          <cell r="AY26">
            <v>0</v>
          </cell>
          <cell r="AZ26">
            <v>0</v>
          </cell>
          <cell r="BA26">
            <v>0</v>
          </cell>
        </row>
        <row r="27">
          <cell r="A27" t="str">
            <v>Lobaton, Mark</v>
          </cell>
          <cell r="B27" t="str">
            <v>ok</v>
          </cell>
          <cell r="C27" t="str">
            <v>Lobaton, Mark</v>
          </cell>
          <cell r="D27">
            <v>9249552965</v>
          </cell>
          <cell r="E27">
            <v>6085</v>
          </cell>
          <cell r="F27">
            <v>6085</v>
          </cell>
          <cell r="G27">
            <v>12170</v>
          </cell>
          <cell r="H27">
            <v>0</v>
          </cell>
          <cell r="J27" t="str">
            <v>ok</v>
          </cell>
          <cell r="K27" t="str">
            <v>Lobaton, Mark</v>
          </cell>
          <cell r="L27">
            <v>13050</v>
          </cell>
          <cell r="M27">
            <v>880</v>
          </cell>
          <cell r="N27">
            <v>540</v>
          </cell>
          <cell r="O27">
            <v>0</v>
          </cell>
          <cell r="P27">
            <v>100</v>
          </cell>
          <cell r="Q27">
            <v>0</v>
          </cell>
          <cell r="R27">
            <v>0</v>
          </cell>
          <cell r="S27">
            <v>240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6085</v>
          </cell>
          <cell r="Z27">
            <v>6084.99</v>
          </cell>
          <cell r="AA27">
            <v>12169.99</v>
          </cell>
          <cell r="AE27" t="str">
            <v>ok</v>
          </cell>
          <cell r="AF27" t="str">
            <v>Lobaton, Mark</v>
          </cell>
          <cell r="AG27">
            <v>12000</v>
          </cell>
          <cell r="AI27">
            <v>1050.0000000000002</v>
          </cell>
          <cell r="AN27">
            <v>13050</v>
          </cell>
          <cell r="AP27" t="str">
            <v>ok</v>
          </cell>
          <cell r="AQ27" t="str">
            <v>Lobaton, Mark</v>
          </cell>
          <cell r="AS27">
            <v>540</v>
          </cell>
          <cell r="AT27">
            <v>0</v>
          </cell>
          <cell r="AU27">
            <v>100</v>
          </cell>
          <cell r="AV27">
            <v>0</v>
          </cell>
          <cell r="AW27">
            <v>0</v>
          </cell>
          <cell r="AX27">
            <v>240</v>
          </cell>
          <cell r="AY27">
            <v>0</v>
          </cell>
          <cell r="AZ27">
            <v>0</v>
          </cell>
          <cell r="BA27">
            <v>0</v>
          </cell>
        </row>
        <row r="28">
          <cell r="A28" t="str">
            <v>Briosa, April</v>
          </cell>
          <cell r="B28" t="str">
            <v>ok</v>
          </cell>
          <cell r="C28" t="str">
            <v>Briosa, April</v>
          </cell>
          <cell r="D28">
            <v>9249537796</v>
          </cell>
          <cell r="E28">
            <v>13958.34</v>
          </cell>
          <cell r="F28">
            <v>13958.33</v>
          </cell>
          <cell r="G28">
            <v>27916.67</v>
          </cell>
          <cell r="H28">
            <v>0</v>
          </cell>
          <cell r="I28">
            <v>0</v>
          </cell>
          <cell r="J28" t="str">
            <v>ok</v>
          </cell>
          <cell r="K28" t="str">
            <v>Briosa, April</v>
          </cell>
          <cell r="L28">
            <v>29500</v>
          </cell>
          <cell r="M28">
            <v>1583.33</v>
          </cell>
          <cell r="N28">
            <v>900</v>
          </cell>
          <cell r="O28">
            <v>0</v>
          </cell>
          <cell r="P28">
            <v>100</v>
          </cell>
          <cell r="Q28">
            <v>0</v>
          </cell>
          <cell r="R28">
            <v>0</v>
          </cell>
          <cell r="S28">
            <v>400</v>
          </cell>
          <cell r="T28">
            <v>0</v>
          </cell>
          <cell r="U28">
            <v>0</v>
          </cell>
          <cell r="V28">
            <v>0</v>
          </cell>
          <cell r="W28">
            <v>183.33</v>
          </cell>
          <cell r="X28">
            <v>0</v>
          </cell>
          <cell r="Y28">
            <v>13958.33</v>
          </cell>
          <cell r="Z28">
            <v>13958.33</v>
          </cell>
          <cell r="AA28">
            <v>27916.66</v>
          </cell>
          <cell r="AB28">
            <v>0</v>
          </cell>
          <cell r="AC28">
            <v>0</v>
          </cell>
          <cell r="AD28">
            <v>0</v>
          </cell>
          <cell r="AE28" t="str">
            <v>ok</v>
          </cell>
          <cell r="AF28" t="str">
            <v>Briosa, April</v>
          </cell>
          <cell r="AG28">
            <v>20000</v>
          </cell>
          <cell r="AH28">
            <v>0</v>
          </cell>
          <cell r="AI28">
            <v>1750.0000000000005</v>
          </cell>
          <cell r="AJ28">
            <v>0</v>
          </cell>
          <cell r="AK28">
            <v>7750</v>
          </cell>
          <cell r="AL28">
            <v>0</v>
          </cell>
          <cell r="AM28">
            <v>0</v>
          </cell>
          <cell r="AN28">
            <v>29500</v>
          </cell>
          <cell r="AO28">
            <v>0</v>
          </cell>
          <cell r="AP28" t="str">
            <v>ok</v>
          </cell>
          <cell r="AQ28" t="str">
            <v>Briosa, April</v>
          </cell>
          <cell r="AR28">
            <v>0</v>
          </cell>
          <cell r="AS28">
            <v>900</v>
          </cell>
          <cell r="AT28">
            <v>0</v>
          </cell>
          <cell r="AU28">
            <v>100</v>
          </cell>
          <cell r="AV28">
            <v>0</v>
          </cell>
          <cell r="AW28">
            <v>0</v>
          </cell>
          <cell r="AX28">
            <v>400</v>
          </cell>
          <cell r="AY28">
            <v>0</v>
          </cell>
          <cell r="AZ28">
            <v>0</v>
          </cell>
          <cell r="BA28">
            <v>0</v>
          </cell>
        </row>
        <row r="29">
          <cell r="A29" t="str">
            <v>Yap, Rocky</v>
          </cell>
          <cell r="B29" t="str">
            <v>ok</v>
          </cell>
          <cell r="C29" t="str">
            <v>Yap, Rocky</v>
          </cell>
          <cell r="D29">
            <v>9249554429</v>
          </cell>
          <cell r="E29">
            <v>12050.34</v>
          </cell>
          <cell r="F29">
            <v>12050.34</v>
          </cell>
          <cell r="G29">
            <v>24100.68</v>
          </cell>
          <cell r="H29">
            <v>0</v>
          </cell>
          <cell r="I29">
            <v>0</v>
          </cell>
          <cell r="J29" t="str">
            <v>ok</v>
          </cell>
          <cell r="K29" t="str">
            <v>Yap, Rocky</v>
          </cell>
          <cell r="L29">
            <v>25305.68</v>
          </cell>
          <cell r="M29">
            <v>1205</v>
          </cell>
          <cell r="N29">
            <v>765</v>
          </cell>
          <cell r="O29">
            <v>0</v>
          </cell>
          <cell r="P29">
            <v>100</v>
          </cell>
          <cell r="Q29">
            <v>0</v>
          </cell>
          <cell r="R29">
            <v>0</v>
          </cell>
          <cell r="S29">
            <v>340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12050.34</v>
          </cell>
          <cell r="Z29">
            <v>12050.330000000002</v>
          </cell>
          <cell r="AA29">
            <v>24100.670000000002</v>
          </cell>
          <cell r="AB29">
            <v>0</v>
          </cell>
          <cell r="AC29">
            <v>0</v>
          </cell>
          <cell r="AD29">
            <v>0</v>
          </cell>
          <cell r="AE29" t="str">
            <v>ok</v>
          </cell>
          <cell r="AF29" t="str">
            <v>Yap, Rocky</v>
          </cell>
          <cell r="AG29">
            <v>17000</v>
          </cell>
          <cell r="AH29">
            <v>0</v>
          </cell>
          <cell r="AI29">
            <v>1487.5000000000002</v>
          </cell>
          <cell r="AJ29">
            <v>0</v>
          </cell>
          <cell r="AK29">
            <v>6818.181818181818</v>
          </cell>
          <cell r="AL29">
            <v>0</v>
          </cell>
          <cell r="AM29">
            <v>0</v>
          </cell>
          <cell r="AN29">
            <v>25305.68</v>
          </cell>
          <cell r="AO29">
            <v>0</v>
          </cell>
          <cell r="AP29" t="str">
            <v>ok</v>
          </cell>
          <cell r="AQ29" t="str">
            <v>Yap, Rocky</v>
          </cell>
          <cell r="AR29">
            <v>0</v>
          </cell>
          <cell r="AS29">
            <v>765</v>
          </cell>
          <cell r="AT29">
            <v>0</v>
          </cell>
          <cell r="AU29">
            <v>100</v>
          </cell>
          <cell r="AV29">
            <v>0</v>
          </cell>
          <cell r="AW29">
            <v>0</v>
          </cell>
          <cell r="AX29">
            <v>340</v>
          </cell>
          <cell r="AY29">
            <v>0</v>
          </cell>
          <cell r="AZ29">
            <v>0</v>
          </cell>
          <cell r="BA29">
            <v>0</v>
          </cell>
        </row>
        <row r="30">
          <cell r="A30" t="str">
            <v>Dela Pena, Jan Joshua</v>
          </cell>
          <cell r="B30" t="str">
            <v>ok</v>
          </cell>
          <cell r="C30" t="str">
            <v>Dela Pena, Jan Joshua</v>
          </cell>
          <cell r="D30">
            <v>9249554623</v>
          </cell>
          <cell r="E30">
            <v>11582.44</v>
          </cell>
          <cell r="F30">
            <v>11582.45</v>
          </cell>
          <cell r="G30">
            <v>23164.89</v>
          </cell>
          <cell r="H30">
            <v>0</v>
          </cell>
          <cell r="I30">
            <v>0</v>
          </cell>
          <cell r="J30" t="str">
            <v>ok</v>
          </cell>
          <cell r="K30" t="str">
            <v>Dela Pena, Jan Joshua</v>
          </cell>
          <cell r="L30">
            <v>24369.89</v>
          </cell>
          <cell r="M30">
            <v>1205</v>
          </cell>
          <cell r="N30">
            <v>765</v>
          </cell>
          <cell r="O30">
            <v>0</v>
          </cell>
          <cell r="P30">
            <v>100</v>
          </cell>
          <cell r="Q30">
            <v>0</v>
          </cell>
          <cell r="R30">
            <v>0</v>
          </cell>
          <cell r="S30">
            <v>340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11582.44</v>
          </cell>
          <cell r="Z30">
            <v>11582.44</v>
          </cell>
          <cell r="AA30">
            <v>23164.880000000001</v>
          </cell>
          <cell r="AB30">
            <v>0</v>
          </cell>
          <cell r="AC30">
            <v>0</v>
          </cell>
          <cell r="AD30">
            <v>0</v>
          </cell>
          <cell r="AE30" t="str">
            <v>ok</v>
          </cell>
          <cell r="AF30" t="str">
            <v>Dela Pena, Jan Joshua</v>
          </cell>
          <cell r="AG30">
            <v>17000</v>
          </cell>
          <cell r="AH30">
            <v>0</v>
          </cell>
          <cell r="AI30">
            <v>1487.5000000000002</v>
          </cell>
          <cell r="AJ30">
            <v>0</v>
          </cell>
          <cell r="AK30">
            <v>5882.386363636364</v>
          </cell>
          <cell r="AL30">
            <v>0</v>
          </cell>
          <cell r="AM30">
            <v>0</v>
          </cell>
          <cell r="AN30">
            <v>24369.89</v>
          </cell>
          <cell r="AO30">
            <v>0</v>
          </cell>
          <cell r="AP30" t="str">
            <v>ok</v>
          </cell>
          <cell r="AQ30" t="str">
            <v>Dela Pena, Jan Joshua</v>
          </cell>
          <cell r="AR30">
            <v>0</v>
          </cell>
          <cell r="AS30">
            <v>765</v>
          </cell>
          <cell r="AT30">
            <v>0</v>
          </cell>
          <cell r="AU30">
            <v>100</v>
          </cell>
          <cell r="AV30">
            <v>0</v>
          </cell>
          <cell r="AW30">
            <v>0</v>
          </cell>
          <cell r="AX30">
            <v>340</v>
          </cell>
          <cell r="AY30">
            <v>0</v>
          </cell>
          <cell r="AZ30">
            <v>0</v>
          </cell>
          <cell r="BA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ok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  <cell r="K36">
            <v>0</v>
          </cell>
          <cell r="N36">
            <v>0</v>
          </cell>
          <cell r="P36">
            <v>0</v>
          </cell>
          <cell r="Q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AG36">
            <v>0</v>
          </cell>
          <cell r="AN36">
            <v>0</v>
          </cell>
          <cell r="AQ36">
            <v>0</v>
          </cell>
          <cell r="AR36">
            <v>0</v>
          </cell>
          <cell r="AZ36" t="str">
            <v/>
          </cell>
          <cell r="BA36" t="str">
            <v/>
          </cell>
        </row>
        <row r="37">
          <cell r="A37" t="str">
            <v>TOTAL</v>
          </cell>
          <cell r="B37">
            <v>0</v>
          </cell>
          <cell r="C37" t="str">
            <v>TOTAL</v>
          </cell>
          <cell r="D37">
            <v>0</v>
          </cell>
          <cell r="E37">
            <v>371119.46000000008</v>
          </cell>
          <cell r="F37">
            <v>371119.34000000014</v>
          </cell>
          <cell r="G37">
            <v>742238.8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496819.02</v>
          </cell>
          <cell r="M37">
            <v>49830.207272727275</v>
          </cell>
          <cell r="N37">
            <v>20025</v>
          </cell>
          <cell r="O37">
            <v>1836.05</v>
          </cell>
          <cell r="P37">
            <v>2400</v>
          </cell>
          <cell r="Q37">
            <v>1600</v>
          </cell>
          <cell r="R37">
            <v>4387.6399999999994</v>
          </cell>
          <cell r="S37">
            <v>8900</v>
          </cell>
          <cell r="T37">
            <v>0</v>
          </cell>
          <cell r="U37">
            <v>7272.7272727272721</v>
          </cell>
          <cell r="V37">
            <v>0</v>
          </cell>
          <cell r="W37">
            <v>3408.7899999999995</v>
          </cell>
          <cell r="X37">
            <v>295250</v>
          </cell>
          <cell r="Y37">
            <v>371119.39</v>
          </cell>
          <cell r="Z37">
            <v>371119.28272727277</v>
          </cell>
          <cell r="AA37">
            <v>742238.67272727273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 t="str">
            <v>TOTAL</v>
          </cell>
          <cell r="AG37">
            <v>445000</v>
          </cell>
          <cell r="AH37">
            <v>0</v>
          </cell>
          <cell r="AI37">
            <v>38937.500000000007</v>
          </cell>
          <cell r="AJ37">
            <v>7606.5340909090919</v>
          </cell>
          <cell r="AK37">
            <v>20450.568181818184</v>
          </cell>
          <cell r="AL37">
            <v>15175.568181818184</v>
          </cell>
          <cell r="AM37">
            <v>0</v>
          </cell>
          <cell r="AN37">
            <v>496819.02</v>
          </cell>
          <cell r="AO37">
            <v>0</v>
          </cell>
          <cell r="AP37">
            <v>0</v>
          </cell>
          <cell r="AQ37" t="str">
            <v>TOTAL</v>
          </cell>
          <cell r="AR37">
            <v>0</v>
          </cell>
          <cell r="AS37">
            <v>20025</v>
          </cell>
          <cell r="AT37">
            <v>1836.05</v>
          </cell>
          <cell r="AU37">
            <v>2400</v>
          </cell>
          <cell r="AV37">
            <v>1600</v>
          </cell>
          <cell r="AW37">
            <v>4387.6399999999994</v>
          </cell>
          <cell r="AX37">
            <v>8900</v>
          </cell>
          <cell r="AY37">
            <v>0</v>
          </cell>
          <cell r="AZ37">
            <v>7272.7272727272721</v>
          </cell>
          <cell r="BA37">
            <v>0</v>
          </cell>
        </row>
        <row r="38">
          <cell r="A38">
            <v>25</v>
          </cell>
          <cell r="B38">
            <v>0</v>
          </cell>
          <cell r="C38">
            <v>0</v>
          </cell>
          <cell r="D38">
            <v>0</v>
          </cell>
          <cell r="E38">
            <v>371119.46</v>
          </cell>
          <cell r="F38">
            <v>371119.35999999999</v>
          </cell>
          <cell r="G38">
            <v>742238.82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496819.03409090906</v>
          </cell>
          <cell r="M38">
            <v>49830.207272727275</v>
          </cell>
          <cell r="N38">
            <v>20025</v>
          </cell>
          <cell r="O38">
            <v>1836.05</v>
          </cell>
          <cell r="P38">
            <v>2400</v>
          </cell>
          <cell r="Q38">
            <v>1600</v>
          </cell>
          <cell r="R38">
            <v>4387.6399999999994</v>
          </cell>
          <cell r="S38">
            <v>8900</v>
          </cell>
          <cell r="T38">
            <v>0</v>
          </cell>
          <cell r="U38">
            <v>7272.7272727272721</v>
          </cell>
          <cell r="V38">
            <v>0</v>
          </cell>
          <cell r="W38">
            <v>3408.7899999999995</v>
          </cell>
          <cell r="X38">
            <v>295250</v>
          </cell>
          <cell r="Y38">
            <v>371119.46000000008</v>
          </cell>
          <cell r="Z38">
            <v>371119.35681818187</v>
          </cell>
          <cell r="AA38">
            <v>742238.81681818189</v>
          </cell>
          <cell r="AB38">
            <v>0</v>
          </cell>
          <cell r="AC38">
            <v>0</v>
          </cell>
          <cell r="AE38">
            <v>0</v>
          </cell>
          <cell r="AF38">
            <v>0</v>
          </cell>
          <cell r="AG38">
            <v>445000</v>
          </cell>
          <cell r="AH38">
            <v>0</v>
          </cell>
          <cell r="AI38">
            <v>38937.500000000007</v>
          </cell>
          <cell r="AJ38">
            <v>7606.5340909090919</v>
          </cell>
          <cell r="AK38">
            <v>20450.568181818184</v>
          </cell>
          <cell r="AL38">
            <v>15175.568181818184</v>
          </cell>
          <cell r="AM38">
            <v>0</v>
          </cell>
          <cell r="AN38">
            <v>496819.03409090906</v>
          </cell>
          <cell r="AP38">
            <v>0</v>
          </cell>
          <cell r="AQ38">
            <v>0</v>
          </cell>
          <cell r="AR38">
            <v>0</v>
          </cell>
          <cell r="AS38">
            <v>20025</v>
          </cell>
          <cell r="AT38">
            <v>1836.05</v>
          </cell>
          <cell r="AU38">
            <v>2400</v>
          </cell>
          <cell r="AV38">
            <v>1600</v>
          </cell>
          <cell r="AW38">
            <v>4387.6399999999994</v>
          </cell>
          <cell r="AX38">
            <v>8900</v>
          </cell>
          <cell r="AY38">
            <v>0</v>
          </cell>
          <cell r="AZ38">
            <v>7272.7272727272721</v>
          </cell>
          <cell r="BA38">
            <v>0</v>
          </cell>
        </row>
        <row r="39">
          <cell r="B39">
            <v>0</v>
          </cell>
          <cell r="E39">
            <v>0</v>
          </cell>
          <cell r="F39">
            <v>-1.9999999844003469E-2</v>
          </cell>
          <cell r="G39">
            <v>-1.999999990221113E-2</v>
          </cell>
          <cell r="J39">
            <v>0</v>
          </cell>
          <cell r="L39">
            <v>-1.4090909040533006E-2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-7.000000006519258E-2</v>
          </cell>
          <cell r="Z39">
            <v>-7.4090909096412361E-2</v>
          </cell>
          <cell r="AA39">
            <v>-0.14409090916160494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-1.4090909040533006E-2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</row>
      </sheetData>
      <sheetData sheetId="11">
        <row r="2">
          <cell r="A2">
            <v>1</v>
          </cell>
        </row>
      </sheetData>
      <sheetData sheetId="12">
        <row r="2">
          <cell r="A2">
            <v>1</v>
          </cell>
        </row>
      </sheetData>
      <sheetData sheetId="13">
        <row r="2">
          <cell r="A2">
            <v>1</v>
          </cell>
        </row>
      </sheetData>
      <sheetData sheetId="14">
        <row r="2">
          <cell r="A2">
            <v>1</v>
          </cell>
        </row>
      </sheetData>
      <sheetData sheetId="15">
        <row r="2">
          <cell r="A2">
            <v>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B3">
            <v>250000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ate_absences"/>
      <sheetName val="deductions_SSS"/>
      <sheetName val="deductions_pag ibig"/>
      <sheetName val="other ded_HMO"/>
      <sheetName val="MARCH 2026"/>
      <sheetName val="2026 SSS"/>
      <sheetName val="TAX"/>
      <sheetName val="M.BAUTISTA"/>
      <sheetName val="LOANS"/>
      <sheetName val="Other Dedu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UMMARY"/>
      <sheetName val="Sheet2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LATE_Absences"/>
      <sheetName val="deductions_SSS"/>
      <sheetName val="deductions_pag ibig"/>
      <sheetName val="deductions_Other"/>
      <sheetName val="TAX"/>
      <sheetName val="SSSRates"/>
      <sheetName val="2023 S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AO4" t="str">
            <v>NAME</v>
          </cell>
          <cell r="AP4" t="str">
            <v>SSS CONT</v>
          </cell>
          <cell r="AQ4" t="str">
            <v>SSS LOAN</v>
          </cell>
          <cell r="AR4" t="str">
            <v>HDMF CONT</v>
          </cell>
          <cell r="AS4" t="str">
            <v>HDMF LOAN</v>
          </cell>
          <cell r="AT4" t="str">
            <v>PECEWA LOAN</v>
          </cell>
          <cell r="AU4" t="str">
            <v>COOP LOAN</v>
          </cell>
          <cell r="AV4" t="str">
            <v>PAGIBIG AD</v>
          </cell>
          <cell r="AW4" t="str">
            <v>OTHER DEDN</v>
          </cell>
          <cell r="AX4" t="str">
            <v>HMO DEDN</v>
          </cell>
          <cell r="AY4" t="str">
            <v>DED A</v>
          </cell>
          <cell r="AZ4" t="str">
            <v>ELECT BILL</v>
          </cell>
          <cell r="BA4" t="str">
            <v>MEM INS</v>
          </cell>
          <cell r="BB4" t="str">
            <v>LWOP</v>
          </cell>
          <cell r="BC4" t="str">
            <v>BASE TAX</v>
          </cell>
          <cell r="BD4" t="str">
            <v>TOTAL DEDN</v>
          </cell>
        </row>
        <row r="5">
          <cell r="AO5" t="str">
            <v>Arnejo, Gaudioso</v>
          </cell>
          <cell r="AP5">
            <v>787.5</v>
          </cell>
          <cell r="AQ5">
            <v>0</v>
          </cell>
          <cell r="AR5">
            <v>100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27.64</v>
          </cell>
          <cell r="BC5">
            <v>0</v>
          </cell>
          <cell r="BD5">
            <v>915.14</v>
          </cell>
        </row>
        <row r="6">
          <cell r="AO6" t="str">
            <v>Canto, Guy</v>
          </cell>
          <cell r="AP6">
            <v>1057.5</v>
          </cell>
          <cell r="AQ6">
            <v>1845.8</v>
          </cell>
          <cell r="AR6">
            <v>100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223.02</v>
          </cell>
          <cell r="BC6">
            <v>519.6</v>
          </cell>
          <cell r="BD6">
            <v>3745.92</v>
          </cell>
        </row>
        <row r="7">
          <cell r="AP7">
            <v>1845</v>
          </cell>
          <cell r="AQ7">
            <v>1845.8</v>
          </cell>
          <cell r="AR7">
            <v>200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250.66</v>
          </cell>
          <cell r="BC7">
            <v>519.6</v>
          </cell>
          <cell r="BD7">
            <v>4661.0600000000004</v>
          </cell>
        </row>
        <row r="8">
          <cell r="AO8" t="str">
            <v>Sejob, Mark Lester</v>
          </cell>
          <cell r="AP8">
            <v>1125</v>
          </cell>
          <cell r="AQ8">
            <v>1845.8</v>
          </cell>
          <cell r="AR8">
            <v>100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666.57</v>
          </cell>
          <cell r="BC8">
            <v>1393.77</v>
          </cell>
          <cell r="BD8">
            <v>5131.1400000000003</v>
          </cell>
        </row>
        <row r="9">
          <cell r="AP9">
            <v>1125</v>
          </cell>
          <cell r="AQ9">
            <v>1845.8</v>
          </cell>
          <cell r="AR9">
            <v>100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666.57</v>
          </cell>
          <cell r="BC9">
            <v>1393.77</v>
          </cell>
          <cell r="BD9">
            <v>5131.1400000000003</v>
          </cell>
        </row>
        <row r="10">
          <cell r="AO10" t="str">
            <v>Dureza, Harold Feyman</v>
          </cell>
          <cell r="AP10">
            <v>1057.5</v>
          </cell>
          <cell r="AQ10">
            <v>0</v>
          </cell>
          <cell r="AR10">
            <v>100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78.209999999999994</v>
          </cell>
          <cell r="BC10">
            <v>554.6</v>
          </cell>
          <cell r="BD10">
            <v>1790.31</v>
          </cell>
        </row>
        <row r="11">
          <cell r="AP11">
            <v>1057.5</v>
          </cell>
          <cell r="AQ11">
            <v>0</v>
          </cell>
          <cell r="AR11">
            <v>100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78.209999999999994</v>
          </cell>
          <cell r="BC11">
            <v>554.6</v>
          </cell>
          <cell r="BD11">
            <v>1790.31</v>
          </cell>
        </row>
        <row r="12">
          <cell r="AO12" t="str">
            <v>Artaba, Elshad</v>
          </cell>
          <cell r="AP12">
            <v>855</v>
          </cell>
          <cell r="AQ12">
            <v>0</v>
          </cell>
          <cell r="AR12">
            <v>100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89.42</v>
          </cell>
          <cell r="BC12">
            <v>0</v>
          </cell>
          <cell r="BD12">
            <v>1044.42</v>
          </cell>
        </row>
        <row r="13">
          <cell r="AO13" t="str">
            <v>Pelaez, Dhayny</v>
          </cell>
          <cell r="AP13">
            <v>630</v>
          </cell>
          <cell r="AQ13">
            <v>646.03</v>
          </cell>
          <cell r="AR13">
            <v>100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1.69</v>
          </cell>
          <cell r="BC13">
            <v>0</v>
          </cell>
          <cell r="BD13">
            <v>1377.72</v>
          </cell>
        </row>
        <row r="14">
          <cell r="AP14">
            <v>1485</v>
          </cell>
          <cell r="AQ14">
            <v>646.03</v>
          </cell>
          <cell r="AR14">
            <v>200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91.11</v>
          </cell>
          <cell r="BC14">
            <v>0</v>
          </cell>
          <cell r="BD14">
            <v>2422.14</v>
          </cell>
        </row>
        <row r="15">
          <cell r="AO15" t="str">
            <v>Abello, Annie</v>
          </cell>
          <cell r="AP15">
            <v>1125</v>
          </cell>
          <cell r="AQ15">
            <v>0</v>
          </cell>
          <cell r="AR15">
            <v>100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215.52</v>
          </cell>
          <cell r="BC15">
            <v>2221.9899999999998</v>
          </cell>
          <cell r="BD15">
            <v>3662.51</v>
          </cell>
        </row>
        <row r="16">
          <cell r="AP16">
            <v>1125</v>
          </cell>
          <cell r="AQ16">
            <v>0</v>
          </cell>
          <cell r="AR16">
            <v>100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215.52</v>
          </cell>
          <cell r="BC16">
            <v>2221.9899999999998</v>
          </cell>
          <cell r="BD16">
            <v>3662.51</v>
          </cell>
        </row>
        <row r="17">
          <cell r="AO17" t="str">
            <v>Alibay, Jocel</v>
          </cell>
          <cell r="AP17">
            <v>900</v>
          </cell>
          <cell r="AQ17">
            <v>620.5</v>
          </cell>
          <cell r="AR17">
            <v>100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1566.27</v>
          </cell>
          <cell r="BC17">
            <v>0</v>
          </cell>
          <cell r="BD17">
            <v>3186.77</v>
          </cell>
        </row>
        <row r="18">
          <cell r="AP18">
            <v>900</v>
          </cell>
          <cell r="AQ18">
            <v>620.5</v>
          </cell>
          <cell r="AR18">
            <v>100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1566.27</v>
          </cell>
          <cell r="BC18">
            <v>0</v>
          </cell>
          <cell r="BD18">
            <v>3186.77</v>
          </cell>
        </row>
        <row r="19">
          <cell r="AO19" t="str">
            <v>Jaragbas, Kent Armel</v>
          </cell>
          <cell r="AP19">
            <v>900</v>
          </cell>
          <cell r="AQ19">
            <v>2307.25</v>
          </cell>
          <cell r="AR19">
            <v>100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1234.94</v>
          </cell>
          <cell r="BC19">
            <v>0</v>
          </cell>
          <cell r="BD19">
            <v>4542.1899999999996</v>
          </cell>
        </row>
        <row r="20">
          <cell r="AP20">
            <v>900</v>
          </cell>
          <cell r="AQ20">
            <v>2307.25</v>
          </cell>
          <cell r="AR20">
            <v>100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1234.94</v>
          </cell>
          <cell r="BC20">
            <v>0</v>
          </cell>
          <cell r="BD20">
            <v>4542.1899999999996</v>
          </cell>
        </row>
        <row r="21">
          <cell r="AO21" t="str">
            <v>Total</v>
          </cell>
          <cell r="AP21">
            <v>8437.5</v>
          </cell>
          <cell r="AQ21">
            <v>7265.38</v>
          </cell>
          <cell r="AR21">
            <v>900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4103.28</v>
          </cell>
          <cell r="BC21">
            <v>4689.96</v>
          </cell>
          <cell r="BD21">
            <v>25396.12</v>
          </cell>
        </row>
        <row r="27">
          <cell r="AO27" t="str">
            <v>NAME</v>
          </cell>
          <cell r="AP27" t="str">
            <v>SSS CONT</v>
          </cell>
          <cell r="AQ27" t="str">
            <v>SSS LOAN</v>
          </cell>
          <cell r="AR27" t="str">
            <v>HDMF CONT</v>
          </cell>
          <cell r="AS27" t="str">
            <v>HDMF LOAN</v>
          </cell>
          <cell r="AT27" t="str">
            <v>PECEWA LOAN</v>
          </cell>
          <cell r="AU27" t="str">
            <v>COOP LOAN</v>
          </cell>
          <cell r="AV27" t="str">
            <v>PAGIBIG AD</v>
          </cell>
          <cell r="AW27" t="str">
            <v>OTHER DEDN</v>
          </cell>
          <cell r="AX27" t="str">
            <v>HMO DEDN</v>
          </cell>
          <cell r="AY27" t="str">
            <v>DED A</v>
          </cell>
          <cell r="AZ27" t="str">
            <v>ELECT BILL</v>
          </cell>
          <cell r="BA27" t="str">
            <v>MEM INS</v>
          </cell>
          <cell r="BB27" t="str">
            <v>LWOP</v>
          </cell>
          <cell r="BC27" t="str">
            <v>BASE TAX</v>
          </cell>
          <cell r="BD27" t="str">
            <v>TOTAL DEDN</v>
          </cell>
        </row>
        <row r="28">
          <cell r="AO28" t="str">
            <v>Huervana, Loel</v>
          </cell>
          <cell r="AP28">
            <v>1012.5</v>
          </cell>
          <cell r="AQ28">
            <v>922.9</v>
          </cell>
          <cell r="AR28">
            <v>100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189.7</v>
          </cell>
          <cell r="BD28">
            <v>2225.1</v>
          </cell>
        </row>
        <row r="29">
          <cell r="AP29">
            <v>1012.5</v>
          </cell>
          <cell r="AQ29">
            <v>922.9</v>
          </cell>
          <cell r="AR29">
            <v>100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189.7</v>
          </cell>
          <cell r="BD29">
            <v>2225.1</v>
          </cell>
        </row>
        <row r="30">
          <cell r="AO30" t="str">
            <v>Balgos, Guillermo</v>
          </cell>
          <cell r="AP30">
            <v>742.5</v>
          </cell>
          <cell r="AQ30">
            <v>0</v>
          </cell>
          <cell r="AR30">
            <v>100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842.5</v>
          </cell>
        </row>
        <row r="31">
          <cell r="AO31" t="str">
            <v>Flogen, Nolyver</v>
          </cell>
          <cell r="AP31">
            <v>427.5</v>
          </cell>
          <cell r="AQ31">
            <v>219.19</v>
          </cell>
          <cell r="AR31">
            <v>100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746.69</v>
          </cell>
        </row>
        <row r="32">
          <cell r="AO32" t="str">
            <v>Sapalo, Speady</v>
          </cell>
          <cell r="AP32">
            <v>742.5</v>
          </cell>
          <cell r="AQ32">
            <v>761.39</v>
          </cell>
          <cell r="AR32">
            <v>100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9.94</v>
          </cell>
          <cell r="BC32">
            <v>0</v>
          </cell>
          <cell r="BD32">
            <v>1613.83</v>
          </cell>
        </row>
        <row r="33">
          <cell r="AP33">
            <v>1912.5</v>
          </cell>
          <cell r="AQ33">
            <v>980.58</v>
          </cell>
          <cell r="AR33">
            <v>300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9.94</v>
          </cell>
          <cell r="BC33">
            <v>0</v>
          </cell>
          <cell r="BD33">
            <v>3203.02</v>
          </cell>
        </row>
        <row r="34">
          <cell r="AO34" t="str">
            <v>Barros, Arjay</v>
          </cell>
          <cell r="AP34">
            <v>742.5</v>
          </cell>
          <cell r="AQ34">
            <v>380.7</v>
          </cell>
          <cell r="AR34">
            <v>100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4.95</v>
          </cell>
          <cell r="BC34">
            <v>0</v>
          </cell>
          <cell r="BD34">
            <v>1228.1500000000001</v>
          </cell>
        </row>
        <row r="35">
          <cell r="AO35" t="str">
            <v>Gacer, Joery</v>
          </cell>
          <cell r="AP35">
            <v>517.5</v>
          </cell>
          <cell r="AQ35">
            <v>0</v>
          </cell>
          <cell r="AR35">
            <v>100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54.4</v>
          </cell>
          <cell r="BC35">
            <v>0</v>
          </cell>
          <cell r="BD35">
            <v>671.9</v>
          </cell>
        </row>
        <row r="36">
          <cell r="AP36">
            <v>1260</v>
          </cell>
          <cell r="AQ36">
            <v>380.7</v>
          </cell>
          <cell r="AR36">
            <v>200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59.35</v>
          </cell>
          <cell r="BC36">
            <v>0</v>
          </cell>
          <cell r="BD36">
            <v>1900.05</v>
          </cell>
        </row>
        <row r="37">
          <cell r="AO37" t="str">
            <v>Vinson, John Kenneth</v>
          </cell>
          <cell r="AP37">
            <v>990</v>
          </cell>
          <cell r="AQ37">
            <v>0</v>
          </cell>
          <cell r="AR37">
            <v>100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100.8</v>
          </cell>
          <cell r="BD37">
            <v>1190.8</v>
          </cell>
        </row>
        <row r="38">
          <cell r="AP38">
            <v>990</v>
          </cell>
          <cell r="AQ38">
            <v>0</v>
          </cell>
          <cell r="AR38">
            <v>100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100.8</v>
          </cell>
          <cell r="BD38">
            <v>1190.8</v>
          </cell>
        </row>
        <row r="39">
          <cell r="AO39" t="str">
            <v>Besonia, Ian</v>
          </cell>
          <cell r="AP39">
            <v>427.5</v>
          </cell>
          <cell r="AQ39">
            <v>0</v>
          </cell>
          <cell r="AR39">
            <v>100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12.38</v>
          </cell>
          <cell r="BC39">
            <v>0</v>
          </cell>
          <cell r="BD39">
            <v>539.88</v>
          </cell>
        </row>
        <row r="40">
          <cell r="AP40">
            <v>427.5</v>
          </cell>
          <cell r="AQ40">
            <v>0</v>
          </cell>
          <cell r="AR40">
            <v>100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12.38</v>
          </cell>
          <cell r="BC40">
            <v>0</v>
          </cell>
          <cell r="BD40">
            <v>539.88</v>
          </cell>
        </row>
        <row r="41">
          <cell r="AO41" t="str">
            <v>Braza, Jerson</v>
          </cell>
          <cell r="AP41">
            <v>675</v>
          </cell>
          <cell r="AQ41">
            <v>0</v>
          </cell>
          <cell r="AR41">
            <v>100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775</v>
          </cell>
        </row>
        <row r="42">
          <cell r="AO42" t="str">
            <v>Fernandez, Reth</v>
          </cell>
          <cell r="AP42">
            <v>427.5</v>
          </cell>
          <cell r="AQ42">
            <v>0</v>
          </cell>
          <cell r="AR42">
            <v>100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142.31</v>
          </cell>
          <cell r="BC42">
            <v>0</v>
          </cell>
          <cell r="BD42">
            <v>669.81</v>
          </cell>
        </row>
        <row r="43">
          <cell r="AP43">
            <v>1102.5</v>
          </cell>
          <cell r="AQ43">
            <v>0</v>
          </cell>
          <cell r="AR43">
            <v>200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142.31</v>
          </cell>
          <cell r="BC43">
            <v>0</v>
          </cell>
          <cell r="BD43">
            <v>1444.81</v>
          </cell>
        </row>
        <row r="44">
          <cell r="AO44" t="str">
            <v>Lalantacon, Helbert</v>
          </cell>
          <cell r="AP44">
            <v>675</v>
          </cell>
          <cell r="AQ44">
            <v>1253.6099999999999</v>
          </cell>
          <cell r="AR44">
            <v>100</v>
          </cell>
          <cell r="AS44">
            <v>729.48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9.07</v>
          </cell>
          <cell r="BC44">
            <v>0</v>
          </cell>
          <cell r="BD44">
            <v>2767.16</v>
          </cell>
        </row>
        <row r="45">
          <cell r="AP45">
            <v>675</v>
          </cell>
          <cell r="AQ45">
            <v>1253.6099999999999</v>
          </cell>
          <cell r="AR45">
            <v>100</v>
          </cell>
          <cell r="AS45">
            <v>729.48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9.07</v>
          </cell>
          <cell r="BC45">
            <v>0</v>
          </cell>
          <cell r="BD45">
            <v>2767.16</v>
          </cell>
        </row>
        <row r="46">
          <cell r="AO46" t="str">
            <v>Bernal, Mario Jr</v>
          </cell>
          <cell r="AP46">
            <v>427.5</v>
          </cell>
          <cell r="AQ46">
            <v>184.58</v>
          </cell>
          <cell r="AR46">
            <v>100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15.19</v>
          </cell>
          <cell r="BC46">
            <v>0</v>
          </cell>
          <cell r="BD46">
            <v>727.27</v>
          </cell>
        </row>
        <row r="47">
          <cell r="AO47" t="str">
            <v>Deblois, Daryl</v>
          </cell>
          <cell r="AP47">
            <v>427.5</v>
          </cell>
          <cell r="AQ47">
            <v>0</v>
          </cell>
          <cell r="AR47">
            <v>100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527.5</v>
          </cell>
        </row>
        <row r="48">
          <cell r="AP48">
            <v>855</v>
          </cell>
          <cell r="AQ48">
            <v>184.58</v>
          </cell>
          <cell r="AR48">
            <v>200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15.19</v>
          </cell>
          <cell r="BC48">
            <v>0</v>
          </cell>
          <cell r="BD48">
            <v>1254.77</v>
          </cell>
        </row>
        <row r="49">
          <cell r="AO49" t="str">
            <v>Montuya, Jude</v>
          </cell>
          <cell r="AP49">
            <v>1035</v>
          </cell>
          <cell r="AQ49">
            <v>1384.35</v>
          </cell>
          <cell r="AR49">
            <v>100</v>
          </cell>
          <cell r="AS49">
            <v>1912.49</v>
          </cell>
          <cell r="AT49">
            <v>0</v>
          </cell>
          <cell r="AU49">
            <v>0</v>
          </cell>
          <cell r="AV49">
            <v>150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233.76</v>
          </cell>
          <cell r="BC49">
            <v>179.57</v>
          </cell>
          <cell r="BD49">
            <v>4995.17</v>
          </cell>
        </row>
        <row r="50">
          <cell r="AP50">
            <v>1035</v>
          </cell>
          <cell r="AQ50">
            <v>1384.35</v>
          </cell>
          <cell r="AR50">
            <v>100</v>
          </cell>
          <cell r="AS50">
            <v>1912.49</v>
          </cell>
          <cell r="AT50">
            <v>0</v>
          </cell>
          <cell r="AU50">
            <v>0</v>
          </cell>
          <cell r="AV50">
            <v>150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233.76</v>
          </cell>
          <cell r="BC50">
            <v>179.57</v>
          </cell>
          <cell r="BD50">
            <v>4995.17</v>
          </cell>
        </row>
        <row r="51">
          <cell r="AO51" t="str">
            <v>Total</v>
          </cell>
          <cell r="AP51">
            <v>9270</v>
          </cell>
          <cell r="AQ51">
            <v>5106.72</v>
          </cell>
          <cell r="AR51">
            <v>1400</v>
          </cell>
          <cell r="AS51">
            <v>2641.97</v>
          </cell>
          <cell r="AT51">
            <v>0</v>
          </cell>
          <cell r="AU51">
            <v>0</v>
          </cell>
          <cell r="AV51">
            <v>150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481.98</v>
          </cell>
          <cell r="BC51">
            <v>470.07</v>
          </cell>
          <cell r="BD51">
            <v>19520.759999999998</v>
          </cell>
        </row>
        <row r="58">
          <cell r="AO58" t="str">
            <v>NAME</v>
          </cell>
          <cell r="AP58" t="str">
            <v>SSS CONT</v>
          </cell>
          <cell r="AQ58" t="str">
            <v>SSS LOAN</v>
          </cell>
          <cell r="AR58" t="str">
            <v>HDMF CONT</v>
          </cell>
          <cell r="AS58" t="str">
            <v>HDMF LOAN</v>
          </cell>
          <cell r="AT58" t="str">
            <v>PECEWA LOAN</v>
          </cell>
          <cell r="AU58" t="str">
            <v>COOP LOAN</v>
          </cell>
          <cell r="AV58" t="str">
            <v>PAGIBIG AD</v>
          </cell>
          <cell r="AW58" t="str">
            <v>OTHER DEDN</v>
          </cell>
          <cell r="AX58" t="str">
            <v>HMO DEDN</v>
          </cell>
          <cell r="AY58" t="str">
            <v>DED A</v>
          </cell>
          <cell r="AZ58" t="str">
            <v>ELECT BILL</v>
          </cell>
          <cell r="BA58" t="str">
            <v>MEM INS</v>
          </cell>
          <cell r="BB58" t="str">
            <v>LWOP</v>
          </cell>
          <cell r="BC58" t="str">
            <v>BASE TAX</v>
          </cell>
          <cell r="BD58" t="str">
            <v>TOTAL DEDN</v>
          </cell>
        </row>
        <row r="59">
          <cell r="AO59" t="str">
            <v>Huervana, Loel</v>
          </cell>
          <cell r="AP59">
            <v>0</v>
          </cell>
          <cell r="AQ59">
            <v>922.9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189.7</v>
          </cell>
          <cell r="BD59">
            <v>1112.5999999999999</v>
          </cell>
        </row>
        <row r="60">
          <cell r="AP60">
            <v>0</v>
          </cell>
          <cell r="AQ60">
            <v>922.9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189.7</v>
          </cell>
          <cell r="BD60">
            <v>1112.5999999999999</v>
          </cell>
        </row>
        <row r="61">
          <cell r="AO61" t="str">
            <v>Balgos, Guillermo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</row>
        <row r="62">
          <cell r="AO62" t="str">
            <v>Flogen, Nolyver</v>
          </cell>
          <cell r="AP62">
            <v>0</v>
          </cell>
          <cell r="AQ62">
            <v>219.19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219.19</v>
          </cell>
        </row>
        <row r="63">
          <cell r="AO63" t="str">
            <v>Sapalo, Speady</v>
          </cell>
          <cell r="AP63">
            <v>0</v>
          </cell>
          <cell r="AQ63">
            <v>761.39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761.39</v>
          </cell>
        </row>
        <row r="64">
          <cell r="AP64">
            <v>0</v>
          </cell>
          <cell r="AQ64">
            <v>980.58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980.58</v>
          </cell>
        </row>
        <row r="65">
          <cell r="AO65" t="str">
            <v>Barros, Arjay</v>
          </cell>
          <cell r="AP65">
            <v>0</v>
          </cell>
          <cell r="AQ65">
            <v>380.7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380.7</v>
          </cell>
        </row>
        <row r="66">
          <cell r="AO66" t="str">
            <v>Gacer, Joery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</row>
        <row r="67">
          <cell r="AP67">
            <v>0</v>
          </cell>
          <cell r="AQ67">
            <v>380.7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380.7</v>
          </cell>
        </row>
        <row r="68">
          <cell r="AO68" t="str">
            <v>Vinson, John Kenneth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100.8</v>
          </cell>
          <cell r="BD68">
            <v>100.8</v>
          </cell>
        </row>
        <row r="69"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100.8</v>
          </cell>
          <cell r="BD69">
            <v>100.8</v>
          </cell>
        </row>
        <row r="70">
          <cell r="AO70" t="str">
            <v>Besonia, Ian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</row>
        <row r="71"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</row>
        <row r="72">
          <cell r="AO72" t="str">
            <v>Braza, Jerson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</row>
        <row r="73">
          <cell r="AO73" t="str">
            <v>Fernandez, Reth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</row>
        <row r="74"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</row>
        <row r="75">
          <cell r="AO75" t="str">
            <v>Lalantacon, Helbert</v>
          </cell>
          <cell r="AP75">
            <v>0</v>
          </cell>
          <cell r="AQ75">
            <v>1253.6099999999999</v>
          </cell>
          <cell r="AR75">
            <v>0</v>
          </cell>
          <cell r="AS75">
            <v>729.48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1983.09</v>
          </cell>
        </row>
        <row r="76">
          <cell r="AP76">
            <v>0</v>
          </cell>
          <cell r="AQ76">
            <v>1253.6099999999999</v>
          </cell>
          <cell r="AR76">
            <v>0</v>
          </cell>
          <cell r="AS76">
            <v>729.48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1983.09</v>
          </cell>
        </row>
        <row r="77">
          <cell r="AO77" t="str">
            <v>Bernal, Mario Jr</v>
          </cell>
          <cell r="AP77">
            <v>0</v>
          </cell>
          <cell r="AQ77">
            <v>184.58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184.58</v>
          </cell>
        </row>
        <row r="78">
          <cell r="AO78" t="str">
            <v>Deblois, Daryl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</row>
        <row r="79">
          <cell r="AP79">
            <v>0</v>
          </cell>
          <cell r="AQ79">
            <v>184.58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184.58</v>
          </cell>
        </row>
        <row r="80">
          <cell r="AO80" t="str">
            <v>Montuya, Jude</v>
          </cell>
          <cell r="AP80">
            <v>0</v>
          </cell>
          <cell r="AQ80">
            <v>1384.35</v>
          </cell>
          <cell r="AR80">
            <v>0</v>
          </cell>
          <cell r="AS80">
            <v>1912.49</v>
          </cell>
          <cell r="AT80">
            <v>0</v>
          </cell>
          <cell r="AU80">
            <v>0</v>
          </cell>
          <cell r="AV80">
            <v>150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226.33</v>
          </cell>
          <cell r="BD80">
            <v>3673.17</v>
          </cell>
        </row>
        <row r="81">
          <cell r="AP81">
            <v>0</v>
          </cell>
          <cell r="AQ81">
            <v>1384.35</v>
          </cell>
          <cell r="AR81">
            <v>0</v>
          </cell>
          <cell r="AS81">
            <v>1912.49</v>
          </cell>
          <cell r="AT81">
            <v>0</v>
          </cell>
          <cell r="AU81">
            <v>0</v>
          </cell>
          <cell r="AV81">
            <v>150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226.33</v>
          </cell>
          <cell r="BD81">
            <v>3673.17</v>
          </cell>
        </row>
        <row r="82">
          <cell r="AO82" t="str">
            <v>Total</v>
          </cell>
          <cell r="AP82">
            <v>0</v>
          </cell>
          <cell r="AQ82">
            <v>5106.72</v>
          </cell>
          <cell r="AR82">
            <v>0</v>
          </cell>
          <cell r="AS82">
            <v>2641.97</v>
          </cell>
          <cell r="AT82">
            <v>0</v>
          </cell>
          <cell r="AU82">
            <v>0</v>
          </cell>
          <cell r="AV82">
            <v>150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516.83000000000004</v>
          </cell>
          <cell r="BD82">
            <v>8415.52</v>
          </cell>
        </row>
      </sheetData>
      <sheetData sheetId="12" refreshError="1">
        <row r="4">
          <cell r="AO4" t="str">
            <v>NAME</v>
          </cell>
          <cell r="AP4" t="str">
            <v>SSS CONT</v>
          </cell>
          <cell r="AQ4" t="str">
            <v>SSS LOAN</v>
          </cell>
          <cell r="AR4" t="str">
            <v>HDMF CONT</v>
          </cell>
          <cell r="AS4" t="str">
            <v>HDMF LOAN</v>
          </cell>
          <cell r="AT4" t="str">
            <v>PECEWA LOAN</v>
          </cell>
          <cell r="AU4" t="str">
            <v>COOP LOAN</v>
          </cell>
          <cell r="AV4" t="str">
            <v>PAGIBIG AD</v>
          </cell>
          <cell r="AW4" t="str">
            <v>OTHER DEDN</v>
          </cell>
          <cell r="AX4" t="str">
            <v>HMO DEDN</v>
          </cell>
          <cell r="AY4" t="str">
            <v>DED A</v>
          </cell>
          <cell r="AZ4" t="str">
            <v>ELECT BILL</v>
          </cell>
          <cell r="BA4" t="str">
            <v>MEM INS</v>
          </cell>
          <cell r="BB4" t="str">
            <v>LWOP</v>
          </cell>
          <cell r="BC4" t="str">
            <v>BASE TAX</v>
          </cell>
          <cell r="BD4" t="str">
            <v>TOTAL DEDN</v>
          </cell>
        </row>
        <row r="5">
          <cell r="AO5" t="str">
            <v>Arnejo, Gaudioso</v>
          </cell>
          <cell r="AP5">
            <v>787.5</v>
          </cell>
          <cell r="AQ5">
            <v>0</v>
          </cell>
          <cell r="AR5">
            <v>100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887.5</v>
          </cell>
        </row>
        <row r="6">
          <cell r="AO6" t="str">
            <v>Canto, Guy</v>
          </cell>
          <cell r="AP6">
            <v>1057.5</v>
          </cell>
          <cell r="AQ6">
            <v>1845.8</v>
          </cell>
          <cell r="AR6">
            <v>100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366.99</v>
          </cell>
          <cell r="BC6">
            <v>519.6</v>
          </cell>
          <cell r="BD6">
            <v>3889.89</v>
          </cell>
        </row>
        <row r="7">
          <cell r="AP7">
            <v>1845</v>
          </cell>
          <cell r="AQ7">
            <v>1845.8</v>
          </cell>
          <cell r="AR7">
            <v>200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366.99</v>
          </cell>
          <cell r="BC7">
            <v>519.6</v>
          </cell>
          <cell r="BD7">
            <v>4777.3900000000003</v>
          </cell>
        </row>
        <row r="8">
          <cell r="AO8" t="str">
            <v>Sejob, Mark Lester</v>
          </cell>
          <cell r="AP8">
            <v>1125</v>
          </cell>
          <cell r="AQ8">
            <v>1845.8</v>
          </cell>
          <cell r="AR8">
            <v>100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430.43</v>
          </cell>
          <cell r="BC8">
            <v>1393.77</v>
          </cell>
          <cell r="BD8">
            <v>4894.99</v>
          </cell>
        </row>
        <row r="9">
          <cell r="AP9">
            <v>1125</v>
          </cell>
          <cell r="AQ9">
            <v>1845.8</v>
          </cell>
          <cell r="AR9">
            <v>100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430.43</v>
          </cell>
          <cell r="BC9">
            <v>1393.77</v>
          </cell>
          <cell r="BD9">
            <v>4894.99</v>
          </cell>
        </row>
        <row r="10">
          <cell r="AO10" t="str">
            <v>Dureza, Harold Feyman</v>
          </cell>
          <cell r="AP10">
            <v>1057.5</v>
          </cell>
          <cell r="AQ10">
            <v>0</v>
          </cell>
          <cell r="AR10">
            <v>100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1237.18</v>
          </cell>
          <cell r="BC10">
            <v>554.6</v>
          </cell>
          <cell r="BD10">
            <v>2949.28</v>
          </cell>
        </row>
        <row r="11">
          <cell r="AP11">
            <v>1057.5</v>
          </cell>
          <cell r="AQ11">
            <v>0</v>
          </cell>
          <cell r="AR11">
            <v>100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1237.18</v>
          </cell>
          <cell r="BC11">
            <v>554.6</v>
          </cell>
          <cell r="BD11">
            <v>2949.28</v>
          </cell>
        </row>
        <row r="12">
          <cell r="AO12" t="str">
            <v>Artaba, Elshad</v>
          </cell>
          <cell r="AP12">
            <v>855</v>
          </cell>
          <cell r="AQ12">
            <v>0</v>
          </cell>
          <cell r="AR12">
            <v>100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134.13</v>
          </cell>
          <cell r="BC12">
            <v>0</v>
          </cell>
          <cell r="BD12">
            <v>1089.1300000000001</v>
          </cell>
        </row>
        <row r="13">
          <cell r="AP13">
            <v>855</v>
          </cell>
          <cell r="AQ13">
            <v>0</v>
          </cell>
          <cell r="AR13">
            <v>100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134.13</v>
          </cell>
          <cell r="BC13">
            <v>0</v>
          </cell>
          <cell r="BD13">
            <v>1089.1300000000001</v>
          </cell>
        </row>
        <row r="14">
          <cell r="AO14" t="str">
            <v>Abello, Annie</v>
          </cell>
          <cell r="AP14">
            <v>1125</v>
          </cell>
          <cell r="AQ14">
            <v>0</v>
          </cell>
          <cell r="AR14">
            <v>100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61.58</v>
          </cell>
          <cell r="BC14">
            <v>2221.9899999999998</v>
          </cell>
          <cell r="BD14">
            <v>3508.57</v>
          </cell>
        </row>
        <row r="15">
          <cell r="AP15">
            <v>1125</v>
          </cell>
          <cell r="AQ15">
            <v>0</v>
          </cell>
          <cell r="AR15">
            <v>100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61.58</v>
          </cell>
          <cell r="BC15">
            <v>2221.9899999999998</v>
          </cell>
          <cell r="BD15">
            <v>3508.57</v>
          </cell>
        </row>
        <row r="16">
          <cell r="AO16" t="str">
            <v>Alibay, Jocel</v>
          </cell>
          <cell r="AP16">
            <v>900</v>
          </cell>
          <cell r="AQ16">
            <v>620.5</v>
          </cell>
          <cell r="AR16">
            <v>100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2104.8200000000002</v>
          </cell>
          <cell r="BC16">
            <v>0</v>
          </cell>
          <cell r="BD16">
            <v>3725.32</v>
          </cell>
        </row>
        <row r="17">
          <cell r="AP17">
            <v>900</v>
          </cell>
          <cell r="AQ17">
            <v>620.5</v>
          </cell>
          <cell r="AR17">
            <v>100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2104.8200000000002</v>
          </cell>
          <cell r="BC17">
            <v>0</v>
          </cell>
          <cell r="BD17">
            <v>3725.32</v>
          </cell>
        </row>
        <row r="18">
          <cell r="AO18" t="str">
            <v>Jaragbas, Kent Armel</v>
          </cell>
          <cell r="AP18">
            <v>900</v>
          </cell>
          <cell r="AQ18">
            <v>2307.25</v>
          </cell>
          <cell r="AR18">
            <v>100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1038.55</v>
          </cell>
          <cell r="BC18">
            <v>0</v>
          </cell>
          <cell r="BD18">
            <v>4345.8</v>
          </cell>
        </row>
        <row r="19">
          <cell r="AP19">
            <v>900</v>
          </cell>
          <cell r="AQ19">
            <v>2307.25</v>
          </cell>
          <cell r="AR19">
            <v>100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1038.55</v>
          </cell>
          <cell r="BC19">
            <v>0</v>
          </cell>
          <cell r="BD19">
            <v>4345.8</v>
          </cell>
        </row>
        <row r="20">
          <cell r="AO20" t="str">
            <v>Total</v>
          </cell>
          <cell r="AP20">
            <v>7807.5</v>
          </cell>
          <cell r="AQ20">
            <v>6619.35</v>
          </cell>
          <cell r="AR20">
            <v>800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5373.68</v>
          </cell>
          <cell r="BC20">
            <v>4689.96</v>
          </cell>
          <cell r="BD20">
            <v>25290.48</v>
          </cell>
        </row>
        <row r="27">
          <cell r="AO27" t="str">
            <v>NAME</v>
          </cell>
          <cell r="AP27" t="str">
            <v>SSS CONT</v>
          </cell>
          <cell r="AQ27" t="str">
            <v>SSS LOAN</v>
          </cell>
          <cell r="AR27" t="str">
            <v>HDMF CONT</v>
          </cell>
          <cell r="AS27" t="str">
            <v>HDMF LOAN</v>
          </cell>
          <cell r="AT27" t="str">
            <v>PECEWA LOAN</v>
          </cell>
          <cell r="AU27" t="str">
            <v>COOP LOAN</v>
          </cell>
          <cell r="AV27" t="str">
            <v>PAGIBIG AD</v>
          </cell>
          <cell r="AW27" t="str">
            <v>OTHER DEDN</v>
          </cell>
          <cell r="AX27" t="str">
            <v>HMO DEDN</v>
          </cell>
          <cell r="AY27" t="str">
            <v>DED A</v>
          </cell>
          <cell r="AZ27" t="str">
            <v>ELECT BILL</v>
          </cell>
          <cell r="BA27" t="str">
            <v>MEM INS</v>
          </cell>
          <cell r="BB27" t="str">
            <v>LWOP</v>
          </cell>
          <cell r="BC27" t="str">
            <v>BASE TAX</v>
          </cell>
          <cell r="BD27" t="str">
            <v>TOTAL DEDN</v>
          </cell>
        </row>
        <row r="28">
          <cell r="AO28" t="str">
            <v>Huervana, Loel</v>
          </cell>
          <cell r="AP28">
            <v>1012.5</v>
          </cell>
          <cell r="AQ28">
            <v>922.9</v>
          </cell>
          <cell r="AR28">
            <v>100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189.7</v>
          </cell>
          <cell r="BD28">
            <v>2225.1</v>
          </cell>
        </row>
        <row r="29">
          <cell r="AP29">
            <v>1012.5</v>
          </cell>
          <cell r="AQ29">
            <v>922.9</v>
          </cell>
          <cell r="AR29">
            <v>100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189.7</v>
          </cell>
          <cell r="BD29">
            <v>2225.1</v>
          </cell>
        </row>
        <row r="30">
          <cell r="AO30" t="str">
            <v>Balgos, Guillermo</v>
          </cell>
          <cell r="AP30">
            <v>742.5</v>
          </cell>
          <cell r="AQ30">
            <v>0</v>
          </cell>
          <cell r="AR30">
            <v>100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842.5</v>
          </cell>
        </row>
        <row r="31">
          <cell r="AO31" t="str">
            <v>Flogen, Nolyver</v>
          </cell>
          <cell r="AP31">
            <v>427.5</v>
          </cell>
          <cell r="AQ31">
            <v>219.19</v>
          </cell>
          <cell r="AR31">
            <v>100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746.69</v>
          </cell>
        </row>
        <row r="32">
          <cell r="AO32" t="str">
            <v>Sapalo, Speady</v>
          </cell>
          <cell r="AP32">
            <v>742.5</v>
          </cell>
          <cell r="AQ32">
            <v>761.39</v>
          </cell>
          <cell r="AR32">
            <v>100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1603.8899999999999</v>
          </cell>
        </row>
        <row r="33">
          <cell r="AP33">
            <v>1912.5</v>
          </cell>
          <cell r="AQ33">
            <v>980.58</v>
          </cell>
          <cell r="AR33">
            <v>300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3193.08</v>
          </cell>
        </row>
        <row r="34">
          <cell r="AO34" t="str">
            <v>Barros, Arjay</v>
          </cell>
          <cell r="AP34">
            <v>742.5</v>
          </cell>
          <cell r="AQ34">
            <v>380.7</v>
          </cell>
          <cell r="AR34">
            <v>100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44.54</v>
          </cell>
          <cell r="BC34">
            <v>0</v>
          </cell>
          <cell r="BD34">
            <v>1267.74</v>
          </cell>
        </row>
        <row r="35">
          <cell r="AO35" t="str">
            <v>Gacer, Joery</v>
          </cell>
          <cell r="AP35">
            <v>517.5</v>
          </cell>
          <cell r="AQ35">
            <v>0</v>
          </cell>
          <cell r="AR35">
            <v>100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78.2</v>
          </cell>
          <cell r="BC35">
            <v>0</v>
          </cell>
          <cell r="BD35">
            <v>695.7</v>
          </cell>
        </row>
        <row r="36">
          <cell r="AP36">
            <v>1260</v>
          </cell>
          <cell r="AQ36">
            <v>380.7</v>
          </cell>
          <cell r="AR36">
            <v>200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122.74</v>
          </cell>
          <cell r="BC36">
            <v>0</v>
          </cell>
          <cell r="BD36">
            <v>1963.44</v>
          </cell>
        </row>
        <row r="37">
          <cell r="AO37" t="str">
            <v>Vinson, John Kenneth</v>
          </cell>
          <cell r="AP37">
            <v>990</v>
          </cell>
          <cell r="AQ37">
            <v>0</v>
          </cell>
          <cell r="AR37">
            <v>100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100.8</v>
          </cell>
          <cell r="BD37">
            <v>1190.8</v>
          </cell>
        </row>
        <row r="38">
          <cell r="AP38">
            <v>990</v>
          </cell>
          <cell r="AQ38">
            <v>0</v>
          </cell>
          <cell r="AR38">
            <v>100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100.8</v>
          </cell>
          <cell r="BD38">
            <v>1190.8</v>
          </cell>
        </row>
        <row r="39">
          <cell r="AO39" t="str">
            <v>Besonia, Ian</v>
          </cell>
          <cell r="AP39">
            <v>427.5</v>
          </cell>
          <cell r="AQ39">
            <v>0</v>
          </cell>
          <cell r="AR39">
            <v>100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25.31</v>
          </cell>
          <cell r="BC39">
            <v>0</v>
          </cell>
          <cell r="BD39">
            <v>552.80999999999995</v>
          </cell>
        </row>
        <row r="40">
          <cell r="AP40">
            <v>427.5</v>
          </cell>
          <cell r="AQ40">
            <v>0</v>
          </cell>
          <cell r="AR40">
            <v>100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25.31</v>
          </cell>
          <cell r="BC40">
            <v>0</v>
          </cell>
          <cell r="BD40">
            <v>552.80999999999995</v>
          </cell>
        </row>
        <row r="41">
          <cell r="AO41" t="str">
            <v>Braza, Jerson</v>
          </cell>
          <cell r="AP41">
            <v>675</v>
          </cell>
          <cell r="AQ41">
            <v>0</v>
          </cell>
          <cell r="AR41">
            <v>100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45.33</v>
          </cell>
          <cell r="BC41">
            <v>0</v>
          </cell>
          <cell r="BD41">
            <v>820.33</v>
          </cell>
        </row>
        <row r="42">
          <cell r="AO42" t="str">
            <v>Fernandez, Reth</v>
          </cell>
          <cell r="AP42">
            <v>427.5</v>
          </cell>
          <cell r="AQ42">
            <v>0</v>
          </cell>
          <cell r="AR42">
            <v>100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149.06</v>
          </cell>
          <cell r="BC42">
            <v>0</v>
          </cell>
          <cell r="BD42">
            <v>676.56</v>
          </cell>
        </row>
        <row r="43">
          <cell r="AP43">
            <v>1102.5</v>
          </cell>
          <cell r="AQ43">
            <v>0</v>
          </cell>
          <cell r="AR43">
            <v>200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194.39</v>
          </cell>
          <cell r="BC43">
            <v>0</v>
          </cell>
          <cell r="BD43">
            <v>1496.8899999999999</v>
          </cell>
        </row>
        <row r="44">
          <cell r="AO44" t="str">
            <v>Lalantacon, Helbert</v>
          </cell>
          <cell r="AP44">
            <v>675</v>
          </cell>
          <cell r="AQ44">
            <v>1253.6099999999999</v>
          </cell>
          <cell r="AR44">
            <v>100</v>
          </cell>
          <cell r="AS44">
            <v>729.48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19.95</v>
          </cell>
          <cell r="BC44">
            <v>0</v>
          </cell>
          <cell r="BD44">
            <v>2778.04</v>
          </cell>
        </row>
        <row r="45">
          <cell r="AP45">
            <v>675</v>
          </cell>
          <cell r="AQ45">
            <v>1253.6099999999999</v>
          </cell>
          <cell r="AR45">
            <v>100</v>
          </cell>
          <cell r="AS45">
            <v>729.48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19.95</v>
          </cell>
          <cell r="BC45">
            <v>0</v>
          </cell>
          <cell r="BD45">
            <v>2778.04</v>
          </cell>
        </row>
        <row r="46">
          <cell r="AO46" t="str">
            <v>Bernal, Mario Jr</v>
          </cell>
          <cell r="AP46">
            <v>427.5</v>
          </cell>
          <cell r="AQ46">
            <v>184.58</v>
          </cell>
          <cell r="AR46">
            <v>100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12.38</v>
          </cell>
          <cell r="BC46">
            <v>0</v>
          </cell>
          <cell r="BD46">
            <v>724.46</v>
          </cell>
        </row>
        <row r="47">
          <cell r="AO47" t="str">
            <v>Deblois, Daryl</v>
          </cell>
          <cell r="AP47">
            <v>427.5</v>
          </cell>
          <cell r="AQ47">
            <v>0</v>
          </cell>
          <cell r="AR47">
            <v>100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900</v>
          </cell>
          <cell r="BC47">
            <v>0</v>
          </cell>
          <cell r="BD47">
            <v>1427.5</v>
          </cell>
        </row>
        <row r="48">
          <cell r="AP48">
            <v>855</v>
          </cell>
          <cell r="AQ48">
            <v>184.58</v>
          </cell>
          <cell r="AR48">
            <v>200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912.38</v>
          </cell>
          <cell r="BC48">
            <v>0</v>
          </cell>
          <cell r="BD48">
            <v>2151.96</v>
          </cell>
        </row>
        <row r="49">
          <cell r="AO49" t="str">
            <v>Montuya, Jude</v>
          </cell>
          <cell r="AP49">
            <v>1035</v>
          </cell>
          <cell r="AQ49">
            <v>1384.35</v>
          </cell>
          <cell r="AR49">
            <v>100</v>
          </cell>
          <cell r="AS49">
            <v>1912.49</v>
          </cell>
          <cell r="AT49">
            <v>0</v>
          </cell>
          <cell r="AU49">
            <v>0</v>
          </cell>
          <cell r="AV49">
            <v>150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190.62</v>
          </cell>
          <cell r="BC49">
            <v>188.2</v>
          </cell>
          <cell r="BD49">
            <v>4960.66</v>
          </cell>
        </row>
        <row r="50">
          <cell r="AP50">
            <v>1035</v>
          </cell>
          <cell r="AQ50">
            <v>1384.35</v>
          </cell>
          <cell r="AR50">
            <v>100</v>
          </cell>
          <cell r="AS50">
            <v>1912.49</v>
          </cell>
          <cell r="AT50">
            <v>0</v>
          </cell>
          <cell r="AU50">
            <v>0</v>
          </cell>
          <cell r="AV50">
            <v>150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190.62</v>
          </cell>
          <cell r="BC50">
            <v>188.2</v>
          </cell>
          <cell r="BD50">
            <v>4960.66</v>
          </cell>
        </row>
        <row r="51">
          <cell r="AO51" t="str">
            <v>Total</v>
          </cell>
          <cell r="AP51">
            <v>9270</v>
          </cell>
          <cell r="AQ51">
            <v>5106.7199999999993</v>
          </cell>
          <cell r="AR51">
            <v>1400</v>
          </cell>
          <cell r="AS51">
            <v>2641.9700000000003</v>
          </cell>
          <cell r="AT51">
            <v>0</v>
          </cell>
          <cell r="AU51">
            <v>0</v>
          </cell>
          <cell r="AV51">
            <v>150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1465.39</v>
          </cell>
          <cell r="BC51">
            <v>478.7</v>
          </cell>
          <cell r="BD51">
            <v>20512.78</v>
          </cell>
        </row>
        <row r="58">
          <cell r="AO58" t="str">
            <v>NAME</v>
          </cell>
          <cell r="AP58" t="str">
            <v>SSS CONT</v>
          </cell>
          <cell r="AQ58" t="str">
            <v>SSS LOAN</v>
          </cell>
          <cell r="AR58" t="str">
            <v>HDMF CONT</v>
          </cell>
          <cell r="AS58" t="str">
            <v>HDMF LOAN</v>
          </cell>
          <cell r="AT58" t="str">
            <v>PECEWA LOAN</v>
          </cell>
          <cell r="AU58" t="str">
            <v>COOP LOAN</v>
          </cell>
          <cell r="AV58" t="str">
            <v>PAGIBIG AD</v>
          </cell>
          <cell r="AW58" t="str">
            <v>OTHER DEDN</v>
          </cell>
          <cell r="AX58" t="str">
            <v>HMO DEDN</v>
          </cell>
          <cell r="AY58" t="str">
            <v>DED A</v>
          </cell>
          <cell r="AZ58" t="str">
            <v>ELECT BILL</v>
          </cell>
          <cell r="BA58" t="str">
            <v>MEM INS</v>
          </cell>
          <cell r="BB58" t="str">
            <v>LWOP</v>
          </cell>
          <cell r="BC58" t="str">
            <v>BASE TAX</v>
          </cell>
          <cell r="BD58" t="str">
            <v>TOTAL DEDN</v>
          </cell>
        </row>
        <row r="59">
          <cell r="AO59" t="str">
            <v>Huervana, Loel</v>
          </cell>
          <cell r="AP59">
            <v>0</v>
          </cell>
          <cell r="AQ59">
            <v>922.9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189.7</v>
          </cell>
          <cell r="BD59">
            <v>1112.5999999999999</v>
          </cell>
        </row>
        <row r="60">
          <cell r="AP60">
            <v>0</v>
          </cell>
          <cell r="AQ60">
            <v>922.9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189.7</v>
          </cell>
          <cell r="BD60">
            <v>1112.5999999999999</v>
          </cell>
        </row>
        <row r="61">
          <cell r="AO61" t="str">
            <v>Balgos, Guillermo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</row>
        <row r="62">
          <cell r="AO62" t="str">
            <v>Flogen, Nolyver</v>
          </cell>
          <cell r="AP62">
            <v>0</v>
          </cell>
          <cell r="AQ62">
            <v>219.19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219.19</v>
          </cell>
        </row>
        <row r="63">
          <cell r="AO63" t="str">
            <v>Sapalo, Speady</v>
          </cell>
          <cell r="AP63">
            <v>0</v>
          </cell>
          <cell r="AQ63">
            <v>761.39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761.39</v>
          </cell>
        </row>
        <row r="64">
          <cell r="AP64">
            <v>0</v>
          </cell>
          <cell r="AQ64">
            <v>980.58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980.58</v>
          </cell>
        </row>
        <row r="65">
          <cell r="AO65" t="str">
            <v>Barros, Arjay</v>
          </cell>
          <cell r="AP65">
            <v>0</v>
          </cell>
          <cell r="AQ65">
            <v>380.7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380.7</v>
          </cell>
        </row>
        <row r="66">
          <cell r="AO66" t="str">
            <v>Gacer, Joery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</row>
        <row r="67">
          <cell r="AP67">
            <v>0</v>
          </cell>
          <cell r="AQ67">
            <v>380.7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380.7</v>
          </cell>
        </row>
        <row r="68">
          <cell r="AO68" t="str">
            <v>Vinson, John Kenneth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100.8</v>
          </cell>
          <cell r="BD68">
            <v>100.8</v>
          </cell>
        </row>
        <row r="69"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100.8</v>
          </cell>
          <cell r="BD69">
            <v>100.8</v>
          </cell>
        </row>
        <row r="70">
          <cell r="AO70" t="str">
            <v>Besonia, Ian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</row>
        <row r="71">
          <cell r="AO71" t="str">
            <v>Pedrosa, Runjean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</row>
        <row r="72"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</row>
        <row r="73">
          <cell r="AO73" t="str">
            <v>Braza, Jerson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</row>
        <row r="74">
          <cell r="AO74" t="str">
            <v>Fernandez, Reth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</row>
        <row r="75"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</row>
        <row r="76">
          <cell r="AO76" t="str">
            <v>Lalantacon, Helbert</v>
          </cell>
          <cell r="AP76">
            <v>0</v>
          </cell>
          <cell r="AQ76">
            <v>1253.6099999999999</v>
          </cell>
          <cell r="AR76">
            <v>0</v>
          </cell>
          <cell r="AS76">
            <v>729.48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1983.09</v>
          </cell>
        </row>
        <row r="77">
          <cell r="AP77">
            <v>0</v>
          </cell>
          <cell r="AQ77">
            <v>1253.6099999999999</v>
          </cell>
          <cell r="AR77">
            <v>0</v>
          </cell>
          <cell r="AS77">
            <v>729.48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1983.09</v>
          </cell>
        </row>
        <row r="78">
          <cell r="AO78" t="str">
            <v>Bernal, Mario Jr</v>
          </cell>
          <cell r="AP78">
            <v>0</v>
          </cell>
          <cell r="AQ78">
            <v>184.58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184.58</v>
          </cell>
        </row>
        <row r="79">
          <cell r="AO79" t="str">
            <v>Deblois, Daryl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</row>
        <row r="80">
          <cell r="AP80">
            <v>0</v>
          </cell>
          <cell r="AQ80">
            <v>184.58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184.58</v>
          </cell>
        </row>
        <row r="81">
          <cell r="AO81" t="str">
            <v>Montuya, Jude</v>
          </cell>
          <cell r="AP81">
            <v>0</v>
          </cell>
          <cell r="AQ81">
            <v>1384.35</v>
          </cell>
          <cell r="AR81">
            <v>0</v>
          </cell>
          <cell r="AS81">
            <v>1912.49</v>
          </cell>
          <cell r="AT81">
            <v>0</v>
          </cell>
          <cell r="AU81">
            <v>0</v>
          </cell>
          <cell r="AV81">
            <v>150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226.33</v>
          </cell>
          <cell r="BD81">
            <v>3673.17</v>
          </cell>
        </row>
        <row r="82">
          <cell r="AP82">
            <v>0</v>
          </cell>
          <cell r="AQ82">
            <v>1384.35</v>
          </cell>
          <cell r="AR82">
            <v>0</v>
          </cell>
          <cell r="AS82">
            <v>1912.49</v>
          </cell>
          <cell r="AT82">
            <v>0</v>
          </cell>
          <cell r="AU82">
            <v>0</v>
          </cell>
          <cell r="AV82">
            <v>150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226.33</v>
          </cell>
          <cell r="BD82">
            <v>3673.17</v>
          </cell>
        </row>
        <row r="83">
          <cell r="AO83" t="str">
            <v>Total</v>
          </cell>
          <cell r="AP83">
            <v>0</v>
          </cell>
          <cell r="AQ83">
            <v>5106.72</v>
          </cell>
          <cell r="AR83">
            <v>0</v>
          </cell>
          <cell r="AS83">
            <v>2641.97</v>
          </cell>
          <cell r="AT83">
            <v>0</v>
          </cell>
          <cell r="AU83">
            <v>0</v>
          </cell>
          <cell r="AV83">
            <v>150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516.83000000000004</v>
          </cell>
          <cell r="BD83">
            <v>8415.52</v>
          </cell>
        </row>
      </sheetData>
      <sheetData sheetId="13" refreshError="1">
        <row r="4">
          <cell r="AO4" t="str">
            <v>NAME</v>
          </cell>
          <cell r="AP4" t="str">
            <v>SSS CONT</v>
          </cell>
          <cell r="AQ4" t="str">
            <v>SSS LOAN</v>
          </cell>
          <cell r="AR4" t="str">
            <v>HDMF CONT</v>
          </cell>
          <cell r="AS4" t="str">
            <v>HDMF LOAN</v>
          </cell>
          <cell r="AT4" t="str">
            <v>PECEWA LOAN</v>
          </cell>
          <cell r="AU4" t="str">
            <v>COOP LOAN</v>
          </cell>
          <cell r="AV4" t="str">
            <v>PAGIBIG AD</v>
          </cell>
          <cell r="AW4" t="str">
            <v>OTHER DEDN</v>
          </cell>
          <cell r="AX4" t="str">
            <v>HMO DEDN</v>
          </cell>
          <cell r="AY4" t="str">
            <v>DED A</v>
          </cell>
          <cell r="AZ4" t="str">
            <v>ELECT BILL</v>
          </cell>
          <cell r="BA4" t="str">
            <v>MEM INS</v>
          </cell>
          <cell r="BB4" t="str">
            <v>LWOP</v>
          </cell>
          <cell r="BC4" t="str">
            <v>BASE TAX</v>
          </cell>
          <cell r="BD4" t="str">
            <v>TOTAL DEDN</v>
          </cell>
        </row>
        <row r="5">
          <cell r="AO5" t="str">
            <v>Arnejo, Gaudioso</v>
          </cell>
          <cell r="AP5">
            <v>787.5</v>
          </cell>
          <cell r="AQ5">
            <v>0</v>
          </cell>
          <cell r="AR5">
            <v>100</v>
          </cell>
          <cell r="AS5">
            <v>1217.3399999999999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2104.84</v>
          </cell>
        </row>
        <row r="6">
          <cell r="AO6" t="str">
            <v>Canto, Guy</v>
          </cell>
          <cell r="AP6">
            <v>1057.5</v>
          </cell>
          <cell r="AQ6">
            <v>1845.8</v>
          </cell>
          <cell r="AR6">
            <v>100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81.87</v>
          </cell>
          <cell r="BC6">
            <v>745.44</v>
          </cell>
          <cell r="BD6">
            <v>3830.61</v>
          </cell>
        </row>
        <row r="7">
          <cell r="AP7">
            <v>1845</v>
          </cell>
          <cell r="AQ7">
            <v>1845.8</v>
          </cell>
          <cell r="AR7">
            <v>200</v>
          </cell>
          <cell r="AS7">
            <v>1217.3399999999999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81.87</v>
          </cell>
          <cell r="BC7">
            <v>745.44</v>
          </cell>
          <cell r="BD7">
            <v>5935.45</v>
          </cell>
        </row>
        <row r="8">
          <cell r="AO8" t="str">
            <v>Sejob, Mark Lester</v>
          </cell>
          <cell r="AP8">
            <v>1125</v>
          </cell>
          <cell r="AQ8">
            <v>1845.8</v>
          </cell>
          <cell r="AR8">
            <v>100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473.97</v>
          </cell>
          <cell r="BC8">
            <v>1661.74</v>
          </cell>
          <cell r="BD8">
            <v>5206.51</v>
          </cell>
        </row>
        <row r="9">
          <cell r="AP9">
            <v>1125</v>
          </cell>
          <cell r="AQ9">
            <v>1845.8</v>
          </cell>
          <cell r="AR9">
            <v>100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473.97</v>
          </cell>
          <cell r="BC9">
            <v>1661.74</v>
          </cell>
          <cell r="BD9">
            <v>5206.51</v>
          </cell>
        </row>
        <row r="10">
          <cell r="AO10" t="str">
            <v>Dureza, Harold Feyman</v>
          </cell>
          <cell r="AP10">
            <v>1057.5</v>
          </cell>
          <cell r="AQ10">
            <v>0</v>
          </cell>
          <cell r="AR10">
            <v>100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1137.6400000000001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288.68</v>
          </cell>
          <cell r="BC10">
            <v>782.13</v>
          </cell>
          <cell r="BD10">
            <v>3365.94</v>
          </cell>
        </row>
        <row r="11">
          <cell r="AP11">
            <v>1057.5</v>
          </cell>
          <cell r="AQ11">
            <v>0</v>
          </cell>
          <cell r="AR11">
            <v>100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1137.6400000000001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288.68</v>
          </cell>
          <cell r="BC11">
            <v>782.13</v>
          </cell>
          <cell r="BD11">
            <v>3365.94</v>
          </cell>
        </row>
        <row r="12">
          <cell r="AO12" t="str">
            <v>Artaba, Elshad</v>
          </cell>
          <cell r="AP12">
            <v>855</v>
          </cell>
          <cell r="AQ12">
            <v>0</v>
          </cell>
          <cell r="AR12">
            <v>100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252.22</v>
          </cell>
          <cell r="BC12">
            <v>0</v>
          </cell>
          <cell r="BD12">
            <v>1207.22</v>
          </cell>
        </row>
        <row r="13">
          <cell r="AP13">
            <v>855</v>
          </cell>
          <cell r="AQ13">
            <v>0</v>
          </cell>
          <cell r="AR13">
            <v>100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252.22</v>
          </cell>
          <cell r="BC13">
            <v>0</v>
          </cell>
          <cell r="BD13">
            <v>1207.22</v>
          </cell>
        </row>
        <row r="14">
          <cell r="AO14" t="str">
            <v>Abello, Annie</v>
          </cell>
          <cell r="AP14">
            <v>1125</v>
          </cell>
          <cell r="AQ14">
            <v>0</v>
          </cell>
          <cell r="AR14">
            <v>100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48.11</v>
          </cell>
          <cell r="BC14">
            <v>2537.34</v>
          </cell>
          <cell r="BD14">
            <v>3810.45</v>
          </cell>
        </row>
        <row r="15">
          <cell r="AP15">
            <v>1125</v>
          </cell>
          <cell r="AQ15">
            <v>0</v>
          </cell>
          <cell r="AR15">
            <v>100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48.11</v>
          </cell>
          <cell r="BC15">
            <v>2537.34</v>
          </cell>
          <cell r="BD15">
            <v>3810.45</v>
          </cell>
        </row>
        <row r="16">
          <cell r="AO16" t="str">
            <v>Alibay, Jocel</v>
          </cell>
          <cell r="AP16">
            <v>900</v>
          </cell>
          <cell r="AQ16">
            <v>620.5</v>
          </cell>
          <cell r="AR16">
            <v>100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1960.24</v>
          </cell>
          <cell r="BC16">
            <v>26.17</v>
          </cell>
          <cell r="BD16">
            <v>3606.91</v>
          </cell>
        </row>
        <row r="17">
          <cell r="AP17">
            <v>900</v>
          </cell>
          <cell r="AQ17">
            <v>620.5</v>
          </cell>
          <cell r="AR17">
            <v>100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1960.24</v>
          </cell>
          <cell r="BC17">
            <v>26.17</v>
          </cell>
          <cell r="BD17">
            <v>3606.91</v>
          </cell>
        </row>
        <row r="18">
          <cell r="AO18" t="str">
            <v>Jaragbas, Kent Armel</v>
          </cell>
          <cell r="AP18">
            <v>900</v>
          </cell>
          <cell r="AQ18">
            <v>2307.25</v>
          </cell>
          <cell r="AR18">
            <v>100</v>
          </cell>
          <cell r="AS18">
            <v>591.64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853.01</v>
          </cell>
          <cell r="BC18">
            <v>26.17</v>
          </cell>
          <cell r="BD18">
            <v>4778.07</v>
          </cell>
        </row>
        <row r="19">
          <cell r="AP19">
            <v>900</v>
          </cell>
          <cell r="AQ19">
            <v>2307.25</v>
          </cell>
          <cell r="AR19">
            <v>100</v>
          </cell>
          <cell r="AS19">
            <v>591.64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853.01</v>
          </cell>
          <cell r="BC19">
            <v>26.17</v>
          </cell>
          <cell r="BD19">
            <v>4778.07</v>
          </cell>
        </row>
        <row r="20">
          <cell r="AO20" t="str">
            <v>Total</v>
          </cell>
          <cell r="AP20">
            <v>7807.5</v>
          </cell>
          <cell r="AQ20">
            <v>6619.35</v>
          </cell>
          <cell r="AR20">
            <v>800</v>
          </cell>
          <cell r="AS20">
            <v>1808.98</v>
          </cell>
          <cell r="AT20">
            <v>0</v>
          </cell>
          <cell r="AU20">
            <v>0</v>
          </cell>
          <cell r="AV20">
            <v>0</v>
          </cell>
          <cell r="AW20">
            <v>1137.6400000000001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3958.09</v>
          </cell>
          <cell r="BC20">
            <v>5778.99</v>
          </cell>
          <cell r="BD20">
            <v>27910.5</v>
          </cell>
        </row>
        <row r="27">
          <cell r="AO27" t="str">
            <v>NAME</v>
          </cell>
          <cell r="AP27" t="str">
            <v>SSS CONT</v>
          </cell>
          <cell r="AQ27" t="str">
            <v>SSS LOAN</v>
          </cell>
          <cell r="AR27" t="str">
            <v>HDMF CONT</v>
          </cell>
          <cell r="AS27" t="str">
            <v>HDMF LOAN</v>
          </cell>
          <cell r="AT27" t="str">
            <v>PECEWA LOAN</v>
          </cell>
          <cell r="AU27" t="str">
            <v>COOP LOAN</v>
          </cell>
          <cell r="AV27" t="str">
            <v>PAGIBIG AD</v>
          </cell>
          <cell r="AW27" t="str">
            <v>OTHER DEDN</v>
          </cell>
          <cell r="AX27" t="str">
            <v>HMO DEDN</v>
          </cell>
          <cell r="AY27" t="str">
            <v>DED A</v>
          </cell>
          <cell r="AZ27" t="str">
            <v>ELECT BILL</v>
          </cell>
          <cell r="BA27" t="str">
            <v>MEM INS</v>
          </cell>
          <cell r="BB27" t="str">
            <v>LWOP</v>
          </cell>
          <cell r="BC27" t="str">
            <v>BASE TAX</v>
          </cell>
          <cell r="BD27" t="str">
            <v>TOTAL DEDN</v>
          </cell>
        </row>
        <row r="28">
          <cell r="AO28" t="str">
            <v>Huervana, Loel</v>
          </cell>
          <cell r="AP28">
            <v>1012.5</v>
          </cell>
          <cell r="AQ28">
            <v>922.9</v>
          </cell>
          <cell r="AR28">
            <v>100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189.7</v>
          </cell>
          <cell r="BD28">
            <v>2225.1</v>
          </cell>
        </row>
        <row r="29">
          <cell r="AP29">
            <v>1012.5</v>
          </cell>
          <cell r="AQ29">
            <v>922.9</v>
          </cell>
          <cell r="AR29">
            <v>100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189.7</v>
          </cell>
          <cell r="BD29">
            <v>2225.1</v>
          </cell>
        </row>
        <row r="30">
          <cell r="AO30" t="str">
            <v>Balgos, Guillermo</v>
          </cell>
          <cell r="AP30">
            <v>742.5</v>
          </cell>
          <cell r="AQ30">
            <v>0</v>
          </cell>
          <cell r="AR30">
            <v>100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12.92</v>
          </cell>
          <cell r="BC30">
            <v>0</v>
          </cell>
          <cell r="BD30">
            <v>855.42</v>
          </cell>
        </row>
        <row r="31">
          <cell r="AO31" t="str">
            <v>Flogen, Nolyver</v>
          </cell>
          <cell r="AP31">
            <v>427.5</v>
          </cell>
          <cell r="AQ31">
            <v>219.19</v>
          </cell>
          <cell r="AR31">
            <v>100</v>
          </cell>
          <cell r="AS31">
            <v>204.09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950.78</v>
          </cell>
        </row>
        <row r="32">
          <cell r="AO32" t="str">
            <v>Sapalo, Speady</v>
          </cell>
          <cell r="AP32">
            <v>742.5</v>
          </cell>
          <cell r="AQ32">
            <v>761.39</v>
          </cell>
          <cell r="AR32">
            <v>100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11.93</v>
          </cell>
          <cell r="BC32">
            <v>0</v>
          </cell>
          <cell r="BD32">
            <v>1615.82</v>
          </cell>
        </row>
        <row r="33">
          <cell r="AP33">
            <v>1912.5</v>
          </cell>
          <cell r="AQ33">
            <v>980.58</v>
          </cell>
          <cell r="AR33">
            <v>300</v>
          </cell>
          <cell r="AS33">
            <v>204.09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24.85</v>
          </cell>
          <cell r="BC33">
            <v>0</v>
          </cell>
          <cell r="BD33">
            <v>3422.02</v>
          </cell>
        </row>
        <row r="34">
          <cell r="AO34" t="str">
            <v>Barros, Arjay</v>
          </cell>
          <cell r="AP34">
            <v>742.5</v>
          </cell>
          <cell r="AQ34">
            <v>380.7</v>
          </cell>
          <cell r="AR34">
            <v>100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207.86</v>
          </cell>
          <cell r="BC34">
            <v>0</v>
          </cell>
          <cell r="BD34">
            <v>1431.06</v>
          </cell>
        </row>
        <row r="35">
          <cell r="AO35" t="str">
            <v>Gacer, Joery</v>
          </cell>
          <cell r="AP35">
            <v>517.5</v>
          </cell>
          <cell r="AQ35">
            <v>0</v>
          </cell>
          <cell r="AR35">
            <v>100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86.36</v>
          </cell>
          <cell r="BC35">
            <v>0</v>
          </cell>
          <cell r="BD35">
            <v>703.86</v>
          </cell>
        </row>
        <row r="36">
          <cell r="AP36">
            <v>1260</v>
          </cell>
          <cell r="AQ36">
            <v>380.7</v>
          </cell>
          <cell r="AR36">
            <v>200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294.22000000000003</v>
          </cell>
          <cell r="BC36">
            <v>0</v>
          </cell>
          <cell r="BD36">
            <v>2134.92</v>
          </cell>
        </row>
        <row r="37">
          <cell r="AO37" t="str">
            <v>Vinson, John Kenneth</v>
          </cell>
          <cell r="AP37">
            <v>990</v>
          </cell>
          <cell r="AQ37">
            <v>0</v>
          </cell>
          <cell r="AR37">
            <v>100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100.8</v>
          </cell>
          <cell r="BD37">
            <v>1190.8</v>
          </cell>
        </row>
        <row r="38">
          <cell r="AP38">
            <v>990</v>
          </cell>
          <cell r="AQ38">
            <v>0</v>
          </cell>
          <cell r="AR38">
            <v>100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100.8</v>
          </cell>
          <cell r="BD38">
            <v>1190.8</v>
          </cell>
        </row>
        <row r="39">
          <cell r="AO39" t="str">
            <v>Besonia, Ian</v>
          </cell>
          <cell r="AP39">
            <v>427.5</v>
          </cell>
          <cell r="AQ39">
            <v>0</v>
          </cell>
          <cell r="AR39">
            <v>100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527.5</v>
          </cell>
        </row>
        <row r="40">
          <cell r="AO40" t="str">
            <v>Pedrosa, Runjean</v>
          </cell>
          <cell r="AP40">
            <v>427.5</v>
          </cell>
          <cell r="AQ40">
            <v>0</v>
          </cell>
          <cell r="AR40">
            <v>100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527.5</v>
          </cell>
        </row>
        <row r="41">
          <cell r="AP41">
            <v>855</v>
          </cell>
          <cell r="AQ41">
            <v>0</v>
          </cell>
          <cell r="AR41">
            <v>200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1055</v>
          </cell>
        </row>
        <row r="42">
          <cell r="AO42" t="str">
            <v>Braza, Jerson</v>
          </cell>
          <cell r="AP42">
            <v>675</v>
          </cell>
          <cell r="AQ42">
            <v>0</v>
          </cell>
          <cell r="AR42">
            <v>100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52.58</v>
          </cell>
          <cell r="BC42">
            <v>0</v>
          </cell>
          <cell r="BD42">
            <v>827.58</v>
          </cell>
        </row>
        <row r="43">
          <cell r="AO43" t="str">
            <v>Fernandez, Reth</v>
          </cell>
          <cell r="AP43">
            <v>427.5</v>
          </cell>
          <cell r="AQ43">
            <v>0</v>
          </cell>
          <cell r="AR43">
            <v>100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178.31</v>
          </cell>
          <cell r="BC43">
            <v>0</v>
          </cell>
          <cell r="BD43">
            <v>705.81</v>
          </cell>
        </row>
        <row r="44">
          <cell r="AP44">
            <v>1102.5</v>
          </cell>
          <cell r="AQ44">
            <v>0</v>
          </cell>
          <cell r="AR44">
            <v>200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230.9</v>
          </cell>
          <cell r="BC44">
            <v>0</v>
          </cell>
          <cell r="BD44">
            <v>1533.39</v>
          </cell>
        </row>
        <row r="45">
          <cell r="AO45" t="str">
            <v>Lalantacon, Helbert</v>
          </cell>
          <cell r="AP45">
            <v>675</v>
          </cell>
          <cell r="AQ45">
            <v>1253.6099999999999</v>
          </cell>
          <cell r="AR45">
            <v>100</v>
          </cell>
          <cell r="AS45">
            <v>729.48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116.05</v>
          </cell>
          <cell r="BC45">
            <v>0</v>
          </cell>
          <cell r="BD45">
            <v>2874.14</v>
          </cell>
        </row>
        <row r="46">
          <cell r="AP46">
            <v>675</v>
          </cell>
          <cell r="AQ46">
            <v>1253.6099999999999</v>
          </cell>
          <cell r="AR46">
            <v>100</v>
          </cell>
          <cell r="AS46">
            <v>729.48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116.05</v>
          </cell>
          <cell r="BC46">
            <v>0</v>
          </cell>
          <cell r="BD46">
            <v>2874.14</v>
          </cell>
        </row>
        <row r="47">
          <cell r="AO47" t="str">
            <v>Bernal, Mario Jr</v>
          </cell>
          <cell r="AP47">
            <v>427.5</v>
          </cell>
          <cell r="AQ47">
            <v>184.58</v>
          </cell>
          <cell r="AR47">
            <v>100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2.81</v>
          </cell>
          <cell r="BC47">
            <v>0</v>
          </cell>
          <cell r="BD47">
            <v>714.89</v>
          </cell>
        </row>
        <row r="48">
          <cell r="AO48" t="str">
            <v>Deblois, Daryl</v>
          </cell>
          <cell r="AP48">
            <v>427.5</v>
          </cell>
          <cell r="AQ48">
            <v>0</v>
          </cell>
          <cell r="AR48">
            <v>100</v>
          </cell>
          <cell r="AS48">
            <v>590.03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1117.53</v>
          </cell>
        </row>
        <row r="49">
          <cell r="AP49">
            <v>855</v>
          </cell>
          <cell r="AQ49">
            <v>184.58</v>
          </cell>
          <cell r="AR49">
            <v>200</v>
          </cell>
          <cell r="AS49">
            <v>590.03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2.81</v>
          </cell>
          <cell r="BC49">
            <v>0</v>
          </cell>
          <cell r="BD49">
            <v>1832.42</v>
          </cell>
        </row>
        <row r="50">
          <cell r="AO50" t="str">
            <v>Montuya, Jude</v>
          </cell>
          <cell r="AP50">
            <v>1035</v>
          </cell>
          <cell r="AQ50">
            <v>1384.35</v>
          </cell>
          <cell r="AR50">
            <v>100</v>
          </cell>
          <cell r="AS50">
            <v>1912.49</v>
          </cell>
          <cell r="AT50">
            <v>0</v>
          </cell>
          <cell r="AU50">
            <v>0</v>
          </cell>
          <cell r="AV50">
            <v>150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236.54</v>
          </cell>
          <cell r="BC50">
            <v>179.02</v>
          </cell>
          <cell r="BD50">
            <v>4997.3999999999996</v>
          </cell>
        </row>
        <row r="51">
          <cell r="AP51">
            <v>1035</v>
          </cell>
          <cell r="AQ51">
            <v>1384.35</v>
          </cell>
          <cell r="AR51">
            <v>100</v>
          </cell>
          <cell r="AS51">
            <v>1912.49</v>
          </cell>
          <cell r="AT51">
            <v>0</v>
          </cell>
          <cell r="AU51">
            <v>0</v>
          </cell>
          <cell r="AV51">
            <v>150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236.54</v>
          </cell>
          <cell r="BC51">
            <v>179.02</v>
          </cell>
          <cell r="BD51">
            <v>4997.3999999999996</v>
          </cell>
        </row>
        <row r="52">
          <cell r="AO52" t="str">
            <v>Total</v>
          </cell>
          <cell r="AP52">
            <v>9697.5</v>
          </cell>
          <cell r="AQ52">
            <v>5106.72</v>
          </cell>
          <cell r="AR52">
            <v>1500</v>
          </cell>
          <cell r="AS52">
            <v>3436.09</v>
          </cell>
          <cell r="AT52">
            <v>0</v>
          </cell>
          <cell r="AU52">
            <v>0</v>
          </cell>
          <cell r="AV52">
            <v>150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905.36</v>
          </cell>
          <cell r="BC52">
            <v>469.52</v>
          </cell>
          <cell r="BD52">
            <v>21265.19</v>
          </cell>
        </row>
        <row r="59">
          <cell r="AO59" t="str">
            <v>NAME</v>
          </cell>
          <cell r="AP59" t="str">
            <v>SSS CONT</v>
          </cell>
          <cell r="AQ59" t="str">
            <v>SSS LOAN</v>
          </cell>
          <cell r="AR59" t="str">
            <v>HDMF CONT</v>
          </cell>
          <cell r="AS59" t="str">
            <v>HDMF LOAN</v>
          </cell>
          <cell r="AT59" t="str">
            <v>PECEWA LOAN</v>
          </cell>
          <cell r="AU59" t="str">
            <v>COOP LOAN</v>
          </cell>
          <cell r="AV59" t="str">
            <v>PAGIBIG AD</v>
          </cell>
          <cell r="AW59" t="str">
            <v>OTHER DEDN</v>
          </cell>
          <cell r="AX59" t="str">
            <v>HMO DEDN</v>
          </cell>
          <cell r="AY59" t="str">
            <v>DED A</v>
          </cell>
          <cell r="AZ59" t="str">
            <v>ELECT BILL</v>
          </cell>
          <cell r="BA59" t="str">
            <v>MEM INS</v>
          </cell>
          <cell r="BB59" t="str">
            <v>LWOP</v>
          </cell>
          <cell r="BC59" t="str">
            <v>BASE TAX</v>
          </cell>
          <cell r="BD59" t="str">
            <v>TOTAL DEDN</v>
          </cell>
        </row>
        <row r="60">
          <cell r="AO60" t="str">
            <v>Huervana, Loel</v>
          </cell>
          <cell r="AP60">
            <v>0</v>
          </cell>
          <cell r="AQ60">
            <v>922.9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408.79</v>
          </cell>
          <cell r="BD60">
            <v>1331.69</v>
          </cell>
        </row>
        <row r="61">
          <cell r="AP61">
            <v>0</v>
          </cell>
          <cell r="AQ61">
            <v>922.9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408.79</v>
          </cell>
          <cell r="BD61">
            <v>1331.69</v>
          </cell>
        </row>
        <row r="62">
          <cell r="AO62" t="str">
            <v>Balgos, Guillermo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</row>
        <row r="63">
          <cell r="AO63" t="str">
            <v>Flogen, Nolyver</v>
          </cell>
          <cell r="AP63">
            <v>0</v>
          </cell>
          <cell r="AQ63">
            <v>219.19</v>
          </cell>
          <cell r="AR63">
            <v>0</v>
          </cell>
          <cell r="AS63">
            <v>204.09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423.28</v>
          </cell>
        </row>
        <row r="64">
          <cell r="AO64" t="str">
            <v>Sapalo, Speady</v>
          </cell>
          <cell r="AP64">
            <v>0</v>
          </cell>
          <cell r="AQ64">
            <v>761.39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761.39</v>
          </cell>
        </row>
        <row r="65">
          <cell r="AP65">
            <v>0</v>
          </cell>
          <cell r="AQ65">
            <v>980.58</v>
          </cell>
          <cell r="AR65">
            <v>0</v>
          </cell>
          <cell r="AS65">
            <v>204.09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1184.67</v>
          </cell>
        </row>
        <row r="66">
          <cell r="AO66" t="str">
            <v>Barros, Arjay</v>
          </cell>
          <cell r="AP66">
            <v>0</v>
          </cell>
          <cell r="AQ66">
            <v>380.7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380.7</v>
          </cell>
        </row>
        <row r="67">
          <cell r="AO67" t="str">
            <v>Gacer, Joery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</row>
        <row r="68">
          <cell r="AP68">
            <v>0</v>
          </cell>
          <cell r="AQ68">
            <v>380.7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380.7</v>
          </cell>
        </row>
        <row r="69">
          <cell r="AO69" t="str">
            <v>Vinson, John Kenneth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311.33</v>
          </cell>
          <cell r="BD69">
            <v>311.33</v>
          </cell>
        </row>
        <row r="70"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311.33</v>
          </cell>
          <cell r="BD70">
            <v>311.33</v>
          </cell>
        </row>
        <row r="71">
          <cell r="AO71" t="str">
            <v>Besonia, Ian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</row>
        <row r="72">
          <cell r="AO72" t="str">
            <v>Pedrosa, Runjean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</row>
        <row r="73"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</row>
        <row r="74">
          <cell r="AO74" t="str">
            <v>Braza, Jerson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</row>
        <row r="75">
          <cell r="AO75" t="str">
            <v>Fernandez, Reth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</row>
        <row r="76"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</row>
        <row r="77">
          <cell r="AO77" t="str">
            <v>Lalantacon, Helbert</v>
          </cell>
          <cell r="AP77">
            <v>0</v>
          </cell>
          <cell r="AQ77">
            <v>1253.6099999999999</v>
          </cell>
          <cell r="AR77">
            <v>0</v>
          </cell>
          <cell r="AS77">
            <v>729.48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1983.09</v>
          </cell>
        </row>
        <row r="78">
          <cell r="AP78">
            <v>0</v>
          </cell>
          <cell r="AQ78">
            <v>1253.6099999999999</v>
          </cell>
          <cell r="AR78">
            <v>0</v>
          </cell>
          <cell r="AS78">
            <v>729.48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1983.09</v>
          </cell>
        </row>
        <row r="79">
          <cell r="AO79" t="str">
            <v>Bernal, Mario Jr</v>
          </cell>
          <cell r="AP79">
            <v>0</v>
          </cell>
          <cell r="AQ79">
            <v>184.58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184.58</v>
          </cell>
        </row>
        <row r="80">
          <cell r="AO80" t="str">
            <v>Deblois, Daryl</v>
          </cell>
          <cell r="AP80">
            <v>0</v>
          </cell>
          <cell r="AQ80">
            <v>0</v>
          </cell>
          <cell r="AR80">
            <v>0</v>
          </cell>
          <cell r="AS80">
            <v>590.03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590.03</v>
          </cell>
        </row>
        <row r="81">
          <cell r="AP81">
            <v>0</v>
          </cell>
          <cell r="AQ81">
            <v>184.58</v>
          </cell>
          <cell r="AR81">
            <v>0</v>
          </cell>
          <cell r="AS81">
            <v>590.03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774.61</v>
          </cell>
        </row>
        <row r="82">
          <cell r="AO82" t="str">
            <v>Montuya, Jude</v>
          </cell>
          <cell r="AP82">
            <v>0</v>
          </cell>
          <cell r="AQ82">
            <v>1384.35</v>
          </cell>
          <cell r="AR82">
            <v>0</v>
          </cell>
          <cell r="AS82">
            <v>1912.49</v>
          </cell>
          <cell r="AT82">
            <v>0</v>
          </cell>
          <cell r="AU82">
            <v>0</v>
          </cell>
          <cell r="AV82">
            <v>150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448.95</v>
          </cell>
          <cell r="BD82">
            <v>3895.79</v>
          </cell>
        </row>
        <row r="83">
          <cell r="AP83">
            <v>0</v>
          </cell>
          <cell r="AQ83">
            <v>1384.35</v>
          </cell>
          <cell r="AR83">
            <v>0</v>
          </cell>
          <cell r="AS83">
            <v>1912.49</v>
          </cell>
          <cell r="AT83">
            <v>0</v>
          </cell>
          <cell r="AU83">
            <v>0</v>
          </cell>
          <cell r="AV83">
            <v>150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448.95</v>
          </cell>
          <cell r="BD83">
            <v>3895.79</v>
          </cell>
        </row>
        <row r="84">
          <cell r="AO84" t="str">
            <v>Total</v>
          </cell>
          <cell r="AP84">
            <v>0</v>
          </cell>
          <cell r="AQ84">
            <v>5106.72</v>
          </cell>
          <cell r="AR84">
            <v>0</v>
          </cell>
          <cell r="AS84">
            <v>3436.09</v>
          </cell>
          <cell r="AT84">
            <v>0</v>
          </cell>
          <cell r="AU84">
            <v>0</v>
          </cell>
          <cell r="AV84">
            <v>150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1169.07</v>
          </cell>
          <cell r="BD84">
            <v>9861.8799999999992</v>
          </cell>
        </row>
      </sheetData>
      <sheetData sheetId="14" refreshError="1">
        <row r="4">
          <cell r="AO4" t="str">
            <v>NAME</v>
          </cell>
          <cell r="AP4" t="str">
            <v>SSS CONT</v>
          </cell>
          <cell r="AQ4" t="str">
            <v>SSS LOAN</v>
          </cell>
          <cell r="AR4" t="str">
            <v>HDMF CONT</v>
          </cell>
          <cell r="AS4" t="str">
            <v>HDMF LOAN</v>
          </cell>
          <cell r="AT4" t="str">
            <v>PECEWA LOAN</v>
          </cell>
          <cell r="AU4" t="str">
            <v>COOP LOAN</v>
          </cell>
          <cell r="AV4" t="str">
            <v>PAGIBIG AD</v>
          </cell>
          <cell r="AW4" t="str">
            <v>OTHER DEDN</v>
          </cell>
          <cell r="AX4" t="str">
            <v>HMO DEDN</v>
          </cell>
          <cell r="AY4" t="str">
            <v>DED A</v>
          </cell>
          <cell r="AZ4" t="str">
            <v>ELECT BILL</v>
          </cell>
          <cell r="BA4" t="str">
            <v>MEM INS</v>
          </cell>
          <cell r="BB4" t="str">
            <v>LWOP</v>
          </cell>
          <cell r="BC4" t="str">
            <v>BASE TAX</v>
          </cell>
          <cell r="BD4" t="str">
            <v>TOTAL DEDN</v>
          </cell>
        </row>
        <row r="5">
          <cell r="AO5" t="str">
            <v>Arnejo, Gaudioso</v>
          </cell>
          <cell r="AP5">
            <v>787.5</v>
          </cell>
          <cell r="AQ5">
            <v>0</v>
          </cell>
          <cell r="AR5">
            <v>100</v>
          </cell>
          <cell r="AS5">
            <v>1217.3399999999999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2104.84</v>
          </cell>
        </row>
        <row r="6">
          <cell r="AO6" t="str">
            <v>Canto, Guy</v>
          </cell>
          <cell r="AP6">
            <v>1057.5</v>
          </cell>
          <cell r="AQ6">
            <v>1845.8</v>
          </cell>
          <cell r="AR6">
            <v>100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328.88</v>
          </cell>
          <cell r="BC6">
            <v>971.28</v>
          </cell>
          <cell r="BD6">
            <v>4303.46</v>
          </cell>
        </row>
        <row r="7">
          <cell r="AP7">
            <v>1845</v>
          </cell>
          <cell r="AQ7">
            <v>1845.8</v>
          </cell>
          <cell r="AR7">
            <v>200</v>
          </cell>
          <cell r="AS7">
            <v>1217.3399999999999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328.88</v>
          </cell>
          <cell r="BC7">
            <v>971.28</v>
          </cell>
          <cell r="BD7">
            <v>6408.3</v>
          </cell>
        </row>
        <row r="8">
          <cell r="AO8" t="str">
            <v>Sejob, Mark Lester</v>
          </cell>
          <cell r="AP8">
            <v>1125</v>
          </cell>
          <cell r="AQ8">
            <v>1845.8</v>
          </cell>
          <cell r="AR8">
            <v>100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736.92</v>
          </cell>
          <cell r="BC8">
            <v>1929.71</v>
          </cell>
          <cell r="BD8">
            <v>5737.42</v>
          </cell>
        </row>
        <row r="9">
          <cell r="AP9">
            <v>1125</v>
          </cell>
          <cell r="AQ9">
            <v>1845.8</v>
          </cell>
          <cell r="AR9">
            <v>100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736.92</v>
          </cell>
          <cell r="BC9">
            <v>1929.71</v>
          </cell>
          <cell r="BD9">
            <v>5737.42</v>
          </cell>
        </row>
        <row r="10">
          <cell r="AO10" t="str">
            <v>Dureza, Harold Feyman</v>
          </cell>
          <cell r="AP10">
            <v>1057.5</v>
          </cell>
          <cell r="AQ10">
            <v>0</v>
          </cell>
          <cell r="AR10">
            <v>100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1137.6400000000001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213.31</v>
          </cell>
          <cell r="BC10">
            <v>1009.66</v>
          </cell>
          <cell r="BD10">
            <v>3518.1</v>
          </cell>
        </row>
        <row r="11">
          <cell r="AP11">
            <v>1057.5</v>
          </cell>
          <cell r="AQ11">
            <v>0</v>
          </cell>
          <cell r="AR11">
            <v>100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1137.6400000000001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213.31</v>
          </cell>
          <cell r="BC11">
            <v>1009.66</v>
          </cell>
          <cell r="BD11">
            <v>3518.1</v>
          </cell>
        </row>
        <row r="12">
          <cell r="AO12" t="str">
            <v>Artaba, Elshad</v>
          </cell>
          <cell r="AP12">
            <v>855</v>
          </cell>
          <cell r="AQ12">
            <v>0</v>
          </cell>
          <cell r="AR12">
            <v>100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177.7</v>
          </cell>
          <cell r="BC12">
            <v>6.46</v>
          </cell>
          <cell r="BD12">
            <v>1139.1600000000001</v>
          </cell>
        </row>
        <row r="13">
          <cell r="AP13">
            <v>855</v>
          </cell>
          <cell r="AQ13">
            <v>0</v>
          </cell>
          <cell r="AR13">
            <v>100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177.7</v>
          </cell>
          <cell r="BC13">
            <v>6.46</v>
          </cell>
          <cell r="BD13">
            <v>1139.1600000000001</v>
          </cell>
        </row>
        <row r="14">
          <cell r="AO14" t="str">
            <v>Abello, Annie</v>
          </cell>
          <cell r="AP14">
            <v>1125</v>
          </cell>
          <cell r="AQ14">
            <v>0</v>
          </cell>
          <cell r="AR14">
            <v>100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3078.84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76.97</v>
          </cell>
          <cell r="BC14">
            <v>2922.2</v>
          </cell>
          <cell r="BD14">
            <v>7303.01</v>
          </cell>
        </row>
        <row r="15">
          <cell r="AP15">
            <v>1125</v>
          </cell>
          <cell r="AQ15">
            <v>0</v>
          </cell>
          <cell r="AR15">
            <v>100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3078.84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76.97</v>
          </cell>
          <cell r="BC15">
            <v>2922.2</v>
          </cell>
          <cell r="BD15">
            <v>7303.01</v>
          </cell>
        </row>
        <row r="16">
          <cell r="AO16" t="str">
            <v>Alibay, Jocel</v>
          </cell>
          <cell r="AP16">
            <v>900</v>
          </cell>
          <cell r="AQ16">
            <v>620.5</v>
          </cell>
          <cell r="AR16">
            <v>100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1345.78</v>
          </cell>
          <cell r="BC16">
            <v>218.94</v>
          </cell>
          <cell r="BD16">
            <v>3185.23</v>
          </cell>
        </row>
        <row r="17">
          <cell r="AP17">
            <v>900</v>
          </cell>
          <cell r="AQ17">
            <v>620.5</v>
          </cell>
          <cell r="AR17">
            <v>100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1345.78</v>
          </cell>
          <cell r="BC17">
            <v>218.94</v>
          </cell>
          <cell r="BD17">
            <v>3185.23</v>
          </cell>
        </row>
        <row r="18">
          <cell r="AO18" t="str">
            <v>Jaragbas, Kent Armel</v>
          </cell>
          <cell r="AP18">
            <v>900</v>
          </cell>
          <cell r="AQ18">
            <v>2307.25</v>
          </cell>
          <cell r="AR18">
            <v>100</v>
          </cell>
          <cell r="AS18">
            <v>591.64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1014.46</v>
          </cell>
          <cell r="BC18">
            <v>218.94</v>
          </cell>
          <cell r="BD18">
            <v>5132.29</v>
          </cell>
        </row>
        <row r="19">
          <cell r="AP19">
            <v>900</v>
          </cell>
          <cell r="AQ19">
            <v>2307.25</v>
          </cell>
          <cell r="AR19">
            <v>100</v>
          </cell>
          <cell r="AS19">
            <v>591.64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1014.46</v>
          </cell>
          <cell r="BC19">
            <v>218.94</v>
          </cell>
          <cell r="BD19">
            <v>5132.29</v>
          </cell>
        </row>
        <row r="20">
          <cell r="AO20" t="str">
            <v>Total</v>
          </cell>
          <cell r="AP20">
            <v>7807.5</v>
          </cell>
          <cell r="AQ20">
            <v>6619.35</v>
          </cell>
          <cell r="AR20">
            <v>800</v>
          </cell>
          <cell r="AS20">
            <v>1808.98</v>
          </cell>
          <cell r="AT20">
            <v>0</v>
          </cell>
          <cell r="AU20">
            <v>0</v>
          </cell>
          <cell r="AV20">
            <v>0</v>
          </cell>
          <cell r="AW20">
            <v>4216.4799999999996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3894.02</v>
          </cell>
          <cell r="BC20">
            <v>7277.19</v>
          </cell>
          <cell r="BD20">
            <v>32423.51</v>
          </cell>
        </row>
        <row r="27">
          <cell r="AO27" t="str">
            <v>NAME</v>
          </cell>
          <cell r="AP27" t="str">
            <v>SSS CONT</v>
          </cell>
          <cell r="AQ27" t="str">
            <v>SSS LOAN</v>
          </cell>
          <cell r="AR27" t="str">
            <v>HDMF CONT</v>
          </cell>
          <cell r="AS27" t="str">
            <v>HDMF LOAN</v>
          </cell>
          <cell r="AT27" t="str">
            <v>PECEWA LOAN</v>
          </cell>
          <cell r="AU27" t="str">
            <v>COOP LOAN</v>
          </cell>
          <cell r="AV27" t="str">
            <v>PAGIBIG AD</v>
          </cell>
          <cell r="AW27" t="str">
            <v>OTHER DEDN</v>
          </cell>
          <cell r="AX27" t="str">
            <v>HMO DEDN</v>
          </cell>
          <cell r="AY27" t="str">
            <v>DED A</v>
          </cell>
          <cell r="AZ27" t="str">
            <v>ELECT BILL</v>
          </cell>
          <cell r="BA27" t="str">
            <v>MEM INS</v>
          </cell>
          <cell r="BB27" t="str">
            <v>LWOP</v>
          </cell>
          <cell r="BC27" t="str">
            <v>BASE TAX</v>
          </cell>
          <cell r="BD27" t="str">
            <v>TOTAL DEDN</v>
          </cell>
        </row>
        <row r="28">
          <cell r="AO28" t="str">
            <v>Huervana, Loel</v>
          </cell>
          <cell r="AP28">
            <v>1012.5</v>
          </cell>
          <cell r="AQ28">
            <v>922.9</v>
          </cell>
          <cell r="AR28">
            <v>100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189.7</v>
          </cell>
          <cell r="BD28">
            <v>2225.1</v>
          </cell>
        </row>
        <row r="29">
          <cell r="AP29">
            <v>1012.5</v>
          </cell>
          <cell r="AQ29">
            <v>922.9</v>
          </cell>
          <cell r="AR29">
            <v>100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189.7</v>
          </cell>
          <cell r="BD29">
            <v>2225.1</v>
          </cell>
        </row>
        <row r="30">
          <cell r="AO30" t="str">
            <v>Balgos, Guillermo</v>
          </cell>
          <cell r="AP30">
            <v>742.5</v>
          </cell>
          <cell r="AQ30">
            <v>0</v>
          </cell>
          <cell r="AR30">
            <v>100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52.68</v>
          </cell>
          <cell r="BC30">
            <v>0</v>
          </cell>
          <cell r="BD30">
            <v>895.18</v>
          </cell>
        </row>
        <row r="31">
          <cell r="AO31" t="str">
            <v>Flogen, Nolyver</v>
          </cell>
          <cell r="AP31">
            <v>427.5</v>
          </cell>
          <cell r="AQ31">
            <v>219.19</v>
          </cell>
          <cell r="AR31">
            <v>100</v>
          </cell>
          <cell r="AS31">
            <v>204.09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950.78</v>
          </cell>
        </row>
        <row r="32">
          <cell r="AO32" t="str">
            <v>Sapalo, Speady</v>
          </cell>
          <cell r="AP32">
            <v>742.5</v>
          </cell>
          <cell r="AQ32">
            <v>761.39</v>
          </cell>
          <cell r="AR32">
            <v>100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1603.89</v>
          </cell>
        </row>
        <row r="33">
          <cell r="AP33">
            <v>1912.5</v>
          </cell>
          <cell r="AQ33">
            <v>980.58</v>
          </cell>
          <cell r="AR33">
            <v>300</v>
          </cell>
          <cell r="AS33">
            <v>204.09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52.68</v>
          </cell>
          <cell r="BC33">
            <v>0</v>
          </cell>
          <cell r="BD33">
            <v>3449.85</v>
          </cell>
        </row>
        <row r="34">
          <cell r="AO34" t="str">
            <v>Barros, Arjay</v>
          </cell>
          <cell r="AP34">
            <v>742.5</v>
          </cell>
          <cell r="AQ34">
            <v>380.7</v>
          </cell>
          <cell r="AR34">
            <v>100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82.16</v>
          </cell>
          <cell r="BC34">
            <v>0</v>
          </cell>
          <cell r="BD34">
            <v>1305.3599999999999</v>
          </cell>
        </row>
        <row r="35">
          <cell r="AO35" t="str">
            <v>Gacer, Joery</v>
          </cell>
          <cell r="AP35">
            <v>517.5</v>
          </cell>
          <cell r="AQ35">
            <v>0</v>
          </cell>
          <cell r="AR35">
            <v>100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124.43</v>
          </cell>
          <cell r="BC35">
            <v>0</v>
          </cell>
          <cell r="BD35">
            <v>741.93</v>
          </cell>
        </row>
        <row r="36">
          <cell r="AP36">
            <v>1260</v>
          </cell>
          <cell r="AQ36">
            <v>380.7</v>
          </cell>
          <cell r="AR36">
            <v>200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206.59</v>
          </cell>
          <cell r="BC36">
            <v>0</v>
          </cell>
          <cell r="BD36">
            <v>2047.29</v>
          </cell>
        </row>
        <row r="37">
          <cell r="AO37" t="str">
            <v>Vinson, John Kenneth</v>
          </cell>
          <cell r="AP37">
            <v>990</v>
          </cell>
          <cell r="AQ37">
            <v>0</v>
          </cell>
          <cell r="AR37">
            <v>100</v>
          </cell>
          <cell r="AS37">
            <v>266.42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3.95</v>
          </cell>
          <cell r="BC37">
            <v>100.01</v>
          </cell>
          <cell r="BD37">
            <v>1460.38</v>
          </cell>
        </row>
        <row r="38">
          <cell r="AP38">
            <v>990</v>
          </cell>
          <cell r="AQ38">
            <v>0</v>
          </cell>
          <cell r="AR38">
            <v>100</v>
          </cell>
          <cell r="AS38">
            <v>266.42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3.95</v>
          </cell>
          <cell r="BC38">
            <v>100.01</v>
          </cell>
          <cell r="BD38">
            <v>1460.38</v>
          </cell>
        </row>
        <row r="39">
          <cell r="AO39" t="str">
            <v>Besonia, Ian</v>
          </cell>
          <cell r="AP39">
            <v>427.5</v>
          </cell>
          <cell r="AQ39">
            <v>0</v>
          </cell>
          <cell r="AR39">
            <v>100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1.69</v>
          </cell>
          <cell r="BC39">
            <v>0</v>
          </cell>
          <cell r="BD39">
            <v>529.19000000000005</v>
          </cell>
        </row>
        <row r="40">
          <cell r="AO40" t="str">
            <v>Pedrosa, Runjean</v>
          </cell>
          <cell r="AP40">
            <v>427.5</v>
          </cell>
          <cell r="AQ40">
            <v>0</v>
          </cell>
          <cell r="AR40">
            <v>100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527.5</v>
          </cell>
        </row>
        <row r="41">
          <cell r="AP41">
            <v>855</v>
          </cell>
          <cell r="AQ41">
            <v>0</v>
          </cell>
          <cell r="AR41">
            <v>200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1.69</v>
          </cell>
          <cell r="BC41">
            <v>0</v>
          </cell>
          <cell r="BD41">
            <v>1056.69</v>
          </cell>
        </row>
        <row r="42">
          <cell r="AO42" t="str">
            <v>Braza, Jerson</v>
          </cell>
          <cell r="AP42">
            <v>675</v>
          </cell>
          <cell r="AQ42">
            <v>0</v>
          </cell>
          <cell r="AR42">
            <v>100</v>
          </cell>
          <cell r="AS42">
            <v>189.33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964.33</v>
          </cell>
        </row>
        <row r="43">
          <cell r="AO43" t="str">
            <v>Fernandez, Reth</v>
          </cell>
          <cell r="AP43">
            <v>427.5</v>
          </cell>
          <cell r="AQ43">
            <v>0</v>
          </cell>
          <cell r="AR43">
            <v>100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158.63</v>
          </cell>
          <cell r="BC43">
            <v>0</v>
          </cell>
          <cell r="BD43">
            <v>686.13</v>
          </cell>
        </row>
        <row r="44">
          <cell r="AP44">
            <v>1102.5</v>
          </cell>
          <cell r="AQ44">
            <v>0</v>
          </cell>
          <cell r="AR44">
            <v>200</v>
          </cell>
          <cell r="AS44">
            <v>189.33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158.63</v>
          </cell>
          <cell r="BC44">
            <v>0</v>
          </cell>
          <cell r="BD44">
            <v>1650.46</v>
          </cell>
        </row>
        <row r="45">
          <cell r="AO45" t="str">
            <v>Lalantacon, Helbert</v>
          </cell>
          <cell r="AP45">
            <v>675</v>
          </cell>
          <cell r="AQ45">
            <v>1253.6099999999999</v>
          </cell>
          <cell r="AR45">
            <v>100</v>
          </cell>
          <cell r="AS45">
            <v>729.48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165.01</v>
          </cell>
          <cell r="BC45">
            <v>0</v>
          </cell>
          <cell r="BD45">
            <v>2923.1</v>
          </cell>
        </row>
        <row r="46">
          <cell r="AP46">
            <v>675</v>
          </cell>
          <cell r="AQ46">
            <v>1253.6099999999999</v>
          </cell>
          <cell r="AR46">
            <v>100</v>
          </cell>
          <cell r="AS46">
            <v>729.48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165.01</v>
          </cell>
          <cell r="BC46">
            <v>0</v>
          </cell>
          <cell r="BD46">
            <v>2923.1</v>
          </cell>
        </row>
        <row r="47">
          <cell r="AO47" t="str">
            <v>Bernal, Mario Jr</v>
          </cell>
          <cell r="AP47">
            <v>427.5</v>
          </cell>
          <cell r="AQ47">
            <v>184.58</v>
          </cell>
          <cell r="AR47">
            <v>100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32.06</v>
          </cell>
          <cell r="BC47">
            <v>0</v>
          </cell>
          <cell r="BD47">
            <v>744.14</v>
          </cell>
        </row>
        <row r="48">
          <cell r="AO48" t="str">
            <v>Deblois, Daryl</v>
          </cell>
          <cell r="AP48">
            <v>427.5</v>
          </cell>
          <cell r="AQ48">
            <v>0</v>
          </cell>
          <cell r="AR48">
            <v>100</v>
          </cell>
          <cell r="AS48">
            <v>590.03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1117.53</v>
          </cell>
        </row>
        <row r="49">
          <cell r="AP49">
            <v>855</v>
          </cell>
          <cell r="AQ49">
            <v>184.58</v>
          </cell>
          <cell r="AR49">
            <v>200</v>
          </cell>
          <cell r="AS49">
            <v>590.03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32.06</v>
          </cell>
          <cell r="BC49">
            <v>0</v>
          </cell>
          <cell r="BD49">
            <v>1861.67</v>
          </cell>
        </row>
        <row r="50">
          <cell r="AO50" t="str">
            <v>Montuya, Jude</v>
          </cell>
          <cell r="AP50">
            <v>1035</v>
          </cell>
          <cell r="AQ50">
            <v>1384.35</v>
          </cell>
          <cell r="AR50">
            <v>100</v>
          </cell>
          <cell r="AS50">
            <v>1912.49</v>
          </cell>
          <cell r="AT50">
            <v>0</v>
          </cell>
          <cell r="AU50">
            <v>0</v>
          </cell>
          <cell r="AV50">
            <v>150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16.7</v>
          </cell>
          <cell r="BC50">
            <v>222.99</v>
          </cell>
          <cell r="BD50">
            <v>4821.5200000000004</v>
          </cell>
        </row>
        <row r="51">
          <cell r="AP51">
            <v>1035</v>
          </cell>
          <cell r="AQ51">
            <v>1384.35</v>
          </cell>
          <cell r="AR51">
            <v>100</v>
          </cell>
          <cell r="AS51">
            <v>1912.49</v>
          </cell>
          <cell r="AT51">
            <v>0</v>
          </cell>
          <cell r="AU51">
            <v>0</v>
          </cell>
          <cell r="AV51">
            <v>150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16.7</v>
          </cell>
          <cell r="BC51">
            <v>222.99</v>
          </cell>
          <cell r="BD51">
            <v>4821.5200000000004</v>
          </cell>
        </row>
        <row r="52">
          <cell r="AO52" t="str">
            <v>Total</v>
          </cell>
          <cell r="AP52">
            <v>9697.5</v>
          </cell>
          <cell r="AQ52">
            <v>5106.72</v>
          </cell>
          <cell r="AR52">
            <v>1500</v>
          </cell>
          <cell r="AS52">
            <v>3891.84</v>
          </cell>
          <cell r="AT52">
            <v>0</v>
          </cell>
          <cell r="AU52">
            <v>0</v>
          </cell>
          <cell r="AV52">
            <v>150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637.29999999999995</v>
          </cell>
          <cell r="BC52">
            <v>512.70000000000005</v>
          </cell>
          <cell r="BD52">
            <v>21496.06</v>
          </cell>
        </row>
        <row r="59">
          <cell r="AO59" t="str">
            <v>NAME</v>
          </cell>
          <cell r="AP59" t="str">
            <v>SSS CONT</v>
          </cell>
          <cell r="AQ59" t="str">
            <v>SSS LOAN</v>
          </cell>
          <cell r="AR59" t="str">
            <v>HDMF CONT</v>
          </cell>
          <cell r="AS59" t="str">
            <v>HDMF LOAN</v>
          </cell>
          <cell r="AT59" t="str">
            <v>PECEWA LOAN</v>
          </cell>
          <cell r="AU59" t="str">
            <v>COOP LOAN</v>
          </cell>
          <cell r="AV59" t="str">
            <v>PAGIBIG AD</v>
          </cell>
          <cell r="AW59" t="str">
            <v>OTHER DEDN</v>
          </cell>
          <cell r="AX59" t="str">
            <v>HMO DEDN</v>
          </cell>
          <cell r="AY59" t="str">
            <v>DED A</v>
          </cell>
          <cell r="AZ59" t="str">
            <v>ELECT BILL</v>
          </cell>
          <cell r="BA59" t="str">
            <v>MEM INS</v>
          </cell>
          <cell r="BB59" t="str">
            <v>LWOP</v>
          </cell>
          <cell r="BC59" t="str">
            <v>BASE TAX</v>
          </cell>
          <cell r="BD59" t="str">
            <v>TOTAL DEDN</v>
          </cell>
        </row>
        <row r="60">
          <cell r="AO60" t="str">
            <v>Huervana, Loel</v>
          </cell>
          <cell r="AP60">
            <v>0</v>
          </cell>
          <cell r="AQ60">
            <v>922.9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627.89</v>
          </cell>
          <cell r="BD60">
            <v>1550.79</v>
          </cell>
        </row>
        <row r="61">
          <cell r="AP61">
            <v>0</v>
          </cell>
          <cell r="AQ61">
            <v>922.9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627.89</v>
          </cell>
          <cell r="BD61">
            <v>1550.79</v>
          </cell>
        </row>
        <row r="62">
          <cell r="AO62" t="str">
            <v>Balgos, Guillermo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</row>
        <row r="63">
          <cell r="AO63" t="str">
            <v>Flogen, Nolyver</v>
          </cell>
          <cell r="AP63">
            <v>0</v>
          </cell>
          <cell r="AQ63">
            <v>219.19</v>
          </cell>
          <cell r="AR63">
            <v>0</v>
          </cell>
          <cell r="AS63">
            <v>204.09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423.28</v>
          </cell>
        </row>
        <row r="64">
          <cell r="AO64" t="str">
            <v>Sapalo, Speady</v>
          </cell>
          <cell r="AP64">
            <v>0</v>
          </cell>
          <cell r="AQ64">
            <v>761.39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761.39</v>
          </cell>
        </row>
        <row r="65">
          <cell r="AP65">
            <v>0</v>
          </cell>
          <cell r="AQ65">
            <v>980.58</v>
          </cell>
          <cell r="AR65">
            <v>0</v>
          </cell>
          <cell r="AS65">
            <v>204.09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1184.67</v>
          </cell>
        </row>
        <row r="66">
          <cell r="AO66" t="str">
            <v>Barros, Arjay</v>
          </cell>
          <cell r="AP66">
            <v>0</v>
          </cell>
          <cell r="AQ66">
            <v>380.7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380.7</v>
          </cell>
        </row>
        <row r="67">
          <cell r="AO67" t="str">
            <v>Gacer, Joery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</row>
        <row r="68">
          <cell r="AP68">
            <v>0</v>
          </cell>
          <cell r="AQ68">
            <v>380.7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380.7</v>
          </cell>
        </row>
        <row r="69">
          <cell r="AO69" t="str">
            <v>Vinson, John Kenneth</v>
          </cell>
          <cell r="AP69">
            <v>0</v>
          </cell>
          <cell r="AQ69">
            <v>0</v>
          </cell>
          <cell r="AR69">
            <v>0</v>
          </cell>
          <cell r="AS69">
            <v>266.42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521.85</v>
          </cell>
          <cell r="BD69">
            <v>788.27</v>
          </cell>
        </row>
        <row r="70">
          <cell r="AP70">
            <v>0</v>
          </cell>
          <cell r="AQ70">
            <v>0</v>
          </cell>
          <cell r="AR70">
            <v>0</v>
          </cell>
          <cell r="AS70">
            <v>266.42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521.85</v>
          </cell>
          <cell r="BD70">
            <v>788.27</v>
          </cell>
        </row>
        <row r="71">
          <cell r="AO71" t="str">
            <v>Besonia, Ian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</row>
        <row r="72">
          <cell r="AO72" t="str">
            <v>Pedrosa, Runjean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450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450</v>
          </cell>
        </row>
        <row r="73"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450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450</v>
          </cell>
        </row>
        <row r="74">
          <cell r="AO74" t="str">
            <v>Braza, Jerson</v>
          </cell>
          <cell r="AP74">
            <v>0</v>
          </cell>
          <cell r="AQ74">
            <v>0</v>
          </cell>
          <cell r="AR74">
            <v>0</v>
          </cell>
          <cell r="AS74">
            <v>189.33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189.33</v>
          </cell>
        </row>
        <row r="75">
          <cell r="AO75" t="str">
            <v>Fernandez, Reth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</row>
        <row r="76">
          <cell r="AP76">
            <v>0</v>
          </cell>
          <cell r="AQ76">
            <v>0</v>
          </cell>
          <cell r="AR76">
            <v>0</v>
          </cell>
          <cell r="AS76">
            <v>189.33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189.33</v>
          </cell>
        </row>
        <row r="77">
          <cell r="AO77" t="str">
            <v>Lalantacon, Helbert</v>
          </cell>
          <cell r="AP77">
            <v>0</v>
          </cell>
          <cell r="AQ77">
            <v>1253.6099999999999</v>
          </cell>
          <cell r="AR77">
            <v>0</v>
          </cell>
          <cell r="AS77">
            <v>729.48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1983.09</v>
          </cell>
        </row>
        <row r="78">
          <cell r="AP78">
            <v>0</v>
          </cell>
          <cell r="AQ78">
            <v>1253.6099999999999</v>
          </cell>
          <cell r="AR78">
            <v>0</v>
          </cell>
          <cell r="AS78">
            <v>729.48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1983.09</v>
          </cell>
        </row>
        <row r="79">
          <cell r="AO79" t="str">
            <v>Bernal, Mario Jr</v>
          </cell>
          <cell r="AP79">
            <v>0</v>
          </cell>
          <cell r="AQ79">
            <v>184.58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184.58</v>
          </cell>
        </row>
        <row r="80">
          <cell r="AO80" t="str">
            <v>Deblois, Daryl</v>
          </cell>
          <cell r="AP80">
            <v>0</v>
          </cell>
          <cell r="AQ80">
            <v>0</v>
          </cell>
          <cell r="AR80">
            <v>0</v>
          </cell>
          <cell r="AS80">
            <v>590.03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590.03</v>
          </cell>
        </row>
        <row r="81">
          <cell r="AP81">
            <v>0</v>
          </cell>
          <cell r="AQ81">
            <v>184.58</v>
          </cell>
          <cell r="AR81">
            <v>0</v>
          </cell>
          <cell r="AS81">
            <v>590.03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774.61</v>
          </cell>
        </row>
        <row r="82">
          <cell r="AO82" t="str">
            <v>Montuya, Jude</v>
          </cell>
          <cell r="AP82">
            <v>0</v>
          </cell>
          <cell r="AQ82">
            <v>1384.35</v>
          </cell>
          <cell r="AR82">
            <v>0</v>
          </cell>
          <cell r="AS82">
            <v>1912.49</v>
          </cell>
          <cell r="AT82">
            <v>0</v>
          </cell>
          <cell r="AU82">
            <v>0</v>
          </cell>
          <cell r="AV82">
            <v>150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671.57</v>
          </cell>
          <cell r="BD82">
            <v>4118.41</v>
          </cell>
        </row>
        <row r="83">
          <cell r="AP83">
            <v>0</v>
          </cell>
          <cell r="AQ83">
            <v>1384.35</v>
          </cell>
          <cell r="AR83">
            <v>0</v>
          </cell>
          <cell r="AS83">
            <v>1912.49</v>
          </cell>
          <cell r="AT83">
            <v>0</v>
          </cell>
          <cell r="AU83">
            <v>0</v>
          </cell>
          <cell r="AV83">
            <v>150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671.57</v>
          </cell>
          <cell r="BD83">
            <v>4118.41</v>
          </cell>
        </row>
        <row r="84">
          <cell r="AO84" t="str">
            <v>Total</v>
          </cell>
          <cell r="AP84">
            <v>0</v>
          </cell>
          <cell r="AQ84">
            <v>5106.72</v>
          </cell>
          <cell r="AR84">
            <v>0</v>
          </cell>
          <cell r="AS84">
            <v>3891.84</v>
          </cell>
          <cell r="AT84">
            <v>0</v>
          </cell>
          <cell r="AU84">
            <v>0</v>
          </cell>
          <cell r="AV84">
            <v>150</v>
          </cell>
          <cell r="AW84">
            <v>450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1821.31</v>
          </cell>
          <cell r="BD84">
            <v>11419.87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 t="str">
            <v>SSS Contribution Table for Employed Members 2021</v>
          </cell>
        </row>
        <row r="2">
          <cell r="A2" t="str">
            <v>Range of Compensation</v>
          </cell>
          <cell r="C2" t="str">
            <v>Monthly Salary Credit</v>
          </cell>
          <cell r="F2" t="str">
            <v>Employer - Employee</v>
          </cell>
        </row>
        <row r="3">
          <cell r="F3" t="str">
            <v>Social Security</v>
          </cell>
          <cell r="I3" t="str">
            <v>Employees Compensation</v>
          </cell>
          <cell r="L3" t="str">
            <v>Mandatory Provident Fund</v>
          </cell>
          <cell r="O3" t="str">
            <v>Total Contribution</v>
          </cell>
        </row>
        <row r="4">
          <cell r="C4" t="str">
            <v>Regular SS/Employee's Compensation</v>
          </cell>
          <cell r="D4" t="str">
            <v>Mandatory Provident Fund</v>
          </cell>
          <cell r="E4" t="str">
            <v>Total</v>
          </cell>
          <cell r="F4" t="str">
            <v>ER</v>
          </cell>
          <cell r="G4" t="str">
            <v>EE</v>
          </cell>
          <cell r="H4" t="str">
            <v>TOTAL</v>
          </cell>
          <cell r="I4" t="str">
            <v>ER</v>
          </cell>
          <cell r="J4" t="str">
            <v>EE</v>
          </cell>
          <cell r="K4" t="str">
            <v>TOTAL</v>
          </cell>
          <cell r="L4" t="str">
            <v>ER</v>
          </cell>
          <cell r="M4" t="str">
            <v>EE</v>
          </cell>
          <cell r="N4" t="str">
            <v>TOTAL</v>
          </cell>
          <cell r="O4" t="str">
            <v>ER</v>
          </cell>
          <cell r="P4" t="str">
            <v>EE</v>
          </cell>
          <cell r="Q4" t="str">
            <v>TOTAL</v>
          </cell>
        </row>
        <row r="5">
          <cell r="A5">
            <v>1</v>
          </cell>
          <cell r="B5">
            <v>2</v>
          </cell>
          <cell r="C5">
            <v>3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O5">
            <v>15</v>
          </cell>
          <cell r="P5">
            <v>16</v>
          </cell>
          <cell r="Q5">
            <v>17</v>
          </cell>
        </row>
        <row r="6">
          <cell r="A6">
            <v>0</v>
          </cell>
          <cell r="B6">
            <v>3250</v>
          </cell>
          <cell r="C6">
            <v>3000</v>
          </cell>
          <cell r="D6" t="str">
            <v>–</v>
          </cell>
          <cell r="E6">
            <v>3000</v>
          </cell>
          <cell r="F6">
            <v>255</v>
          </cell>
          <cell r="G6">
            <v>135</v>
          </cell>
          <cell r="H6">
            <v>390</v>
          </cell>
          <cell r="I6">
            <v>10</v>
          </cell>
          <cell r="J6" t="str">
            <v>–</v>
          </cell>
          <cell r="K6">
            <v>10</v>
          </cell>
          <cell r="L6" t="str">
            <v>–</v>
          </cell>
          <cell r="M6" t="str">
            <v>–</v>
          </cell>
          <cell r="N6" t="str">
            <v>–</v>
          </cell>
          <cell r="O6">
            <v>265</v>
          </cell>
          <cell r="P6">
            <v>135</v>
          </cell>
          <cell r="Q6">
            <v>400</v>
          </cell>
        </row>
        <row r="7">
          <cell r="A7">
            <v>3250</v>
          </cell>
          <cell r="B7">
            <v>3749.99</v>
          </cell>
          <cell r="C7">
            <v>3500</v>
          </cell>
          <cell r="D7" t="str">
            <v>–</v>
          </cell>
          <cell r="E7">
            <v>3500</v>
          </cell>
          <cell r="F7">
            <v>297.5</v>
          </cell>
          <cell r="G7">
            <v>157.5</v>
          </cell>
          <cell r="H7">
            <v>455</v>
          </cell>
          <cell r="I7">
            <v>10</v>
          </cell>
          <cell r="J7" t="str">
            <v>–</v>
          </cell>
          <cell r="K7">
            <v>10</v>
          </cell>
          <cell r="L7" t="str">
            <v>–</v>
          </cell>
          <cell r="M7" t="str">
            <v>–</v>
          </cell>
          <cell r="N7" t="str">
            <v>–</v>
          </cell>
          <cell r="O7">
            <v>307.5</v>
          </cell>
          <cell r="P7">
            <v>157.5</v>
          </cell>
          <cell r="Q7">
            <v>465</v>
          </cell>
        </row>
        <row r="8">
          <cell r="A8">
            <v>3750</v>
          </cell>
          <cell r="B8">
            <v>4249.99</v>
          </cell>
          <cell r="C8">
            <v>4000</v>
          </cell>
          <cell r="D8" t="str">
            <v>–</v>
          </cell>
          <cell r="E8">
            <v>4000</v>
          </cell>
          <cell r="F8">
            <v>340</v>
          </cell>
          <cell r="G8">
            <v>180</v>
          </cell>
          <cell r="H8">
            <v>520</v>
          </cell>
          <cell r="I8">
            <v>10</v>
          </cell>
          <cell r="J8" t="str">
            <v>–</v>
          </cell>
          <cell r="K8">
            <v>10</v>
          </cell>
          <cell r="L8" t="str">
            <v>–</v>
          </cell>
          <cell r="M8" t="str">
            <v>–</v>
          </cell>
          <cell r="N8" t="str">
            <v>–</v>
          </cell>
          <cell r="O8">
            <v>350</v>
          </cell>
          <cell r="P8">
            <v>180</v>
          </cell>
          <cell r="Q8">
            <v>530</v>
          </cell>
        </row>
        <row r="9">
          <cell r="A9">
            <v>4250</v>
          </cell>
          <cell r="B9">
            <v>4749.99</v>
          </cell>
          <cell r="C9">
            <v>4500</v>
          </cell>
          <cell r="D9" t="str">
            <v>–</v>
          </cell>
          <cell r="E9">
            <v>4500</v>
          </cell>
          <cell r="F9">
            <v>382.5</v>
          </cell>
          <cell r="G9">
            <v>202.5</v>
          </cell>
          <cell r="H9">
            <v>585</v>
          </cell>
          <cell r="I9">
            <v>10</v>
          </cell>
          <cell r="J9" t="str">
            <v>–</v>
          </cell>
          <cell r="K9">
            <v>10</v>
          </cell>
          <cell r="L9" t="str">
            <v>–</v>
          </cell>
          <cell r="M9" t="str">
            <v>–</v>
          </cell>
          <cell r="N9" t="str">
            <v>–</v>
          </cell>
          <cell r="O9">
            <v>392.5</v>
          </cell>
          <cell r="P9">
            <v>202.5</v>
          </cell>
          <cell r="Q9">
            <v>595</v>
          </cell>
        </row>
        <row r="10">
          <cell r="A10">
            <v>4750</v>
          </cell>
          <cell r="B10">
            <v>5249.99</v>
          </cell>
          <cell r="C10">
            <v>5000</v>
          </cell>
          <cell r="D10" t="str">
            <v>–</v>
          </cell>
          <cell r="E10">
            <v>5000</v>
          </cell>
          <cell r="F10">
            <v>425</v>
          </cell>
          <cell r="G10">
            <v>225</v>
          </cell>
          <cell r="H10">
            <v>650</v>
          </cell>
          <cell r="I10">
            <v>10</v>
          </cell>
          <cell r="J10" t="str">
            <v>–</v>
          </cell>
          <cell r="K10">
            <v>10</v>
          </cell>
          <cell r="L10" t="str">
            <v>–</v>
          </cell>
          <cell r="M10" t="str">
            <v>–</v>
          </cell>
          <cell r="N10" t="str">
            <v>–</v>
          </cell>
          <cell r="O10">
            <v>435</v>
          </cell>
          <cell r="P10">
            <v>225</v>
          </cell>
          <cell r="Q10">
            <v>660</v>
          </cell>
        </row>
        <row r="11">
          <cell r="A11">
            <v>5250</v>
          </cell>
          <cell r="B11">
            <v>5749.99</v>
          </cell>
          <cell r="C11">
            <v>5500</v>
          </cell>
          <cell r="D11" t="str">
            <v>–</v>
          </cell>
          <cell r="E11">
            <v>5500</v>
          </cell>
          <cell r="F11">
            <v>467.5</v>
          </cell>
          <cell r="G11">
            <v>247.5</v>
          </cell>
          <cell r="H11">
            <v>715</v>
          </cell>
          <cell r="I11">
            <v>10</v>
          </cell>
          <cell r="J11" t="str">
            <v>–</v>
          </cell>
          <cell r="K11">
            <v>10</v>
          </cell>
          <cell r="L11" t="str">
            <v>–</v>
          </cell>
          <cell r="M11" t="str">
            <v>–</v>
          </cell>
          <cell r="N11" t="str">
            <v>–</v>
          </cell>
          <cell r="O11">
            <v>477.5</v>
          </cell>
          <cell r="P11">
            <v>247.5</v>
          </cell>
          <cell r="Q11">
            <v>725</v>
          </cell>
        </row>
        <row r="12">
          <cell r="A12">
            <v>5750</v>
          </cell>
          <cell r="B12">
            <v>6249.99</v>
          </cell>
          <cell r="C12">
            <v>6000</v>
          </cell>
          <cell r="D12" t="str">
            <v>–</v>
          </cell>
          <cell r="E12">
            <v>6000</v>
          </cell>
          <cell r="F12">
            <v>510</v>
          </cell>
          <cell r="G12">
            <v>270</v>
          </cell>
          <cell r="H12">
            <v>780</v>
          </cell>
          <cell r="I12">
            <v>10</v>
          </cell>
          <cell r="J12" t="str">
            <v>–</v>
          </cell>
          <cell r="K12">
            <v>10</v>
          </cell>
          <cell r="L12" t="str">
            <v>–</v>
          </cell>
          <cell r="M12" t="str">
            <v>–</v>
          </cell>
          <cell r="N12" t="str">
            <v>–</v>
          </cell>
          <cell r="O12">
            <v>520</v>
          </cell>
          <cell r="P12">
            <v>270</v>
          </cell>
          <cell r="Q12">
            <v>790</v>
          </cell>
        </row>
        <row r="13">
          <cell r="A13">
            <v>6250</v>
          </cell>
          <cell r="B13">
            <v>6749.99</v>
          </cell>
          <cell r="C13">
            <v>6500</v>
          </cell>
          <cell r="D13" t="str">
            <v>–</v>
          </cell>
          <cell r="E13">
            <v>6500</v>
          </cell>
          <cell r="F13">
            <v>552.5</v>
          </cell>
          <cell r="G13">
            <v>292.5</v>
          </cell>
          <cell r="H13">
            <v>845</v>
          </cell>
          <cell r="I13">
            <v>10</v>
          </cell>
          <cell r="J13" t="str">
            <v>–</v>
          </cell>
          <cell r="K13">
            <v>10</v>
          </cell>
          <cell r="L13" t="str">
            <v>–</v>
          </cell>
          <cell r="M13" t="str">
            <v>–</v>
          </cell>
          <cell r="N13" t="str">
            <v>–</v>
          </cell>
          <cell r="O13">
            <v>562.5</v>
          </cell>
          <cell r="P13">
            <v>292.5</v>
          </cell>
          <cell r="Q13">
            <v>855</v>
          </cell>
        </row>
        <row r="14">
          <cell r="A14">
            <v>6750</v>
          </cell>
          <cell r="B14">
            <v>7249.99</v>
          </cell>
          <cell r="C14">
            <v>7000</v>
          </cell>
          <cell r="D14" t="str">
            <v>–</v>
          </cell>
          <cell r="E14">
            <v>7000</v>
          </cell>
          <cell r="F14">
            <v>595</v>
          </cell>
          <cell r="G14">
            <v>315</v>
          </cell>
          <cell r="H14">
            <v>910</v>
          </cell>
          <cell r="I14">
            <v>10</v>
          </cell>
          <cell r="J14" t="str">
            <v>–</v>
          </cell>
          <cell r="K14">
            <v>10</v>
          </cell>
          <cell r="L14" t="str">
            <v>–</v>
          </cell>
          <cell r="M14" t="str">
            <v>–</v>
          </cell>
          <cell r="N14" t="str">
            <v>–</v>
          </cell>
          <cell r="O14">
            <v>605</v>
          </cell>
          <cell r="P14">
            <v>315</v>
          </cell>
          <cell r="Q14">
            <v>920</v>
          </cell>
        </row>
        <row r="15">
          <cell r="A15">
            <v>7250</v>
          </cell>
          <cell r="B15">
            <v>7749.99</v>
          </cell>
          <cell r="C15">
            <v>7500</v>
          </cell>
          <cell r="D15" t="str">
            <v>–</v>
          </cell>
          <cell r="E15">
            <v>7500</v>
          </cell>
          <cell r="F15">
            <v>637.5</v>
          </cell>
          <cell r="G15">
            <v>337.5</v>
          </cell>
          <cell r="H15">
            <v>975</v>
          </cell>
          <cell r="I15">
            <v>10</v>
          </cell>
          <cell r="J15" t="str">
            <v>–</v>
          </cell>
          <cell r="K15">
            <v>10</v>
          </cell>
          <cell r="L15" t="str">
            <v>–</v>
          </cell>
          <cell r="M15" t="str">
            <v>–</v>
          </cell>
          <cell r="N15" t="str">
            <v>–</v>
          </cell>
          <cell r="O15">
            <v>647.5</v>
          </cell>
          <cell r="P15">
            <v>337.5</v>
          </cell>
          <cell r="Q15">
            <v>985</v>
          </cell>
        </row>
        <row r="16">
          <cell r="A16">
            <v>7750</v>
          </cell>
          <cell r="B16">
            <v>8249.99</v>
          </cell>
          <cell r="C16">
            <v>8000</v>
          </cell>
          <cell r="D16" t="str">
            <v>–</v>
          </cell>
          <cell r="E16">
            <v>8000</v>
          </cell>
          <cell r="F16">
            <v>680</v>
          </cell>
          <cell r="G16">
            <v>360</v>
          </cell>
          <cell r="H16">
            <v>1040</v>
          </cell>
          <cell r="I16">
            <v>10</v>
          </cell>
          <cell r="J16" t="str">
            <v>–</v>
          </cell>
          <cell r="K16">
            <v>10</v>
          </cell>
          <cell r="L16" t="str">
            <v>–</v>
          </cell>
          <cell r="M16" t="str">
            <v>–</v>
          </cell>
          <cell r="N16" t="str">
            <v>–</v>
          </cell>
          <cell r="O16">
            <v>690</v>
          </cell>
          <cell r="P16">
            <v>360</v>
          </cell>
          <cell r="Q16">
            <v>1050</v>
          </cell>
        </row>
        <row r="17">
          <cell r="A17">
            <v>8250</v>
          </cell>
          <cell r="B17">
            <v>8749.99</v>
          </cell>
          <cell r="C17">
            <v>8500</v>
          </cell>
          <cell r="D17" t="str">
            <v>–</v>
          </cell>
          <cell r="E17">
            <v>8500</v>
          </cell>
          <cell r="F17">
            <v>722.5</v>
          </cell>
          <cell r="G17">
            <v>382.5</v>
          </cell>
          <cell r="H17">
            <v>1105</v>
          </cell>
          <cell r="I17">
            <v>10</v>
          </cell>
          <cell r="J17" t="str">
            <v>–</v>
          </cell>
          <cell r="K17">
            <v>10</v>
          </cell>
          <cell r="L17" t="str">
            <v>–</v>
          </cell>
          <cell r="M17" t="str">
            <v>–</v>
          </cell>
          <cell r="N17" t="str">
            <v>–</v>
          </cell>
          <cell r="O17">
            <v>732.5</v>
          </cell>
          <cell r="P17">
            <v>382.5</v>
          </cell>
          <cell r="Q17">
            <v>1115</v>
          </cell>
        </row>
        <row r="18">
          <cell r="A18">
            <v>8750</v>
          </cell>
          <cell r="B18">
            <v>9249.99</v>
          </cell>
          <cell r="C18">
            <v>9000</v>
          </cell>
          <cell r="D18" t="str">
            <v>–</v>
          </cell>
          <cell r="E18">
            <v>9000</v>
          </cell>
          <cell r="F18">
            <v>765</v>
          </cell>
          <cell r="G18">
            <v>405</v>
          </cell>
          <cell r="H18">
            <v>1170</v>
          </cell>
          <cell r="I18">
            <v>10</v>
          </cell>
          <cell r="J18" t="str">
            <v>–</v>
          </cell>
          <cell r="K18">
            <v>10</v>
          </cell>
          <cell r="L18" t="str">
            <v>–</v>
          </cell>
          <cell r="M18" t="str">
            <v>–</v>
          </cell>
          <cell r="N18" t="str">
            <v>–</v>
          </cell>
          <cell r="O18">
            <v>775</v>
          </cell>
          <cell r="P18">
            <v>405</v>
          </cell>
          <cell r="Q18">
            <v>1180</v>
          </cell>
        </row>
        <row r="19">
          <cell r="A19">
            <v>9250</v>
          </cell>
          <cell r="B19">
            <v>9749.99</v>
          </cell>
          <cell r="C19">
            <v>9500</v>
          </cell>
          <cell r="D19" t="str">
            <v>–</v>
          </cell>
          <cell r="E19">
            <v>9500</v>
          </cell>
          <cell r="F19">
            <v>807.5</v>
          </cell>
          <cell r="G19">
            <v>427.5</v>
          </cell>
          <cell r="H19">
            <v>1235</v>
          </cell>
          <cell r="I19">
            <v>10</v>
          </cell>
          <cell r="J19" t="str">
            <v>–</v>
          </cell>
          <cell r="K19">
            <v>10</v>
          </cell>
          <cell r="L19" t="str">
            <v>–</v>
          </cell>
          <cell r="M19" t="str">
            <v>–</v>
          </cell>
          <cell r="N19" t="str">
            <v>–</v>
          </cell>
          <cell r="O19">
            <v>817.5</v>
          </cell>
          <cell r="P19">
            <v>427.5</v>
          </cell>
          <cell r="Q19">
            <v>1245</v>
          </cell>
        </row>
        <row r="20">
          <cell r="A20">
            <v>9750</v>
          </cell>
          <cell r="B20">
            <v>10249.99</v>
          </cell>
          <cell r="C20">
            <v>10000</v>
          </cell>
          <cell r="D20" t="str">
            <v>–</v>
          </cell>
          <cell r="E20">
            <v>10000</v>
          </cell>
          <cell r="F20">
            <v>850</v>
          </cell>
          <cell r="G20">
            <v>450</v>
          </cell>
          <cell r="H20">
            <v>1300</v>
          </cell>
          <cell r="I20">
            <v>10</v>
          </cell>
          <cell r="J20" t="str">
            <v>–</v>
          </cell>
          <cell r="K20">
            <v>10</v>
          </cell>
          <cell r="L20" t="str">
            <v>–</v>
          </cell>
          <cell r="M20" t="str">
            <v>–</v>
          </cell>
          <cell r="N20" t="str">
            <v>–</v>
          </cell>
          <cell r="O20">
            <v>860</v>
          </cell>
          <cell r="P20">
            <v>450</v>
          </cell>
          <cell r="Q20">
            <v>1310</v>
          </cell>
        </row>
        <row r="21">
          <cell r="A21">
            <v>10250</v>
          </cell>
          <cell r="B21">
            <v>10749.99</v>
          </cell>
          <cell r="C21">
            <v>10500</v>
          </cell>
          <cell r="D21" t="str">
            <v>–</v>
          </cell>
          <cell r="E21">
            <v>10500</v>
          </cell>
          <cell r="F21">
            <v>892.5</v>
          </cell>
          <cell r="G21">
            <v>472.5</v>
          </cell>
          <cell r="H21">
            <v>1365</v>
          </cell>
          <cell r="I21">
            <v>10</v>
          </cell>
          <cell r="J21" t="str">
            <v>–</v>
          </cell>
          <cell r="K21">
            <v>10</v>
          </cell>
          <cell r="L21" t="str">
            <v>–</v>
          </cell>
          <cell r="M21" t="str">
            <v>–</v>
          </cell>
          <cell r="N21" t="str">
            <v>–</v>
          </cell>
          <cell r="O21">
            <v>902.5</v>
          </cell>
          <cell r="P21">
            <v>472.5</v>
          </cell>
          <cell r="Q21">
            <v>1375</v>
          </cell>
        </row>
        <row r="22">
          <cell r="A22">
            <v>10750</v>
          </cell>
          <cell r="B22">
            <v>11249.99</v>
          </cell>
          <cell r="C22">
            <v>11000</v>
          </cell>
          <cell r="D22" t="str">
            <v>–</v>
          </cell>
          <cell r="E22">
            <v>11000</v>
          </cell>
          <cell r="F22">
            <v>935</v>
          </cell>
          <cell r="G22">
            <v>495</v>
          </cell>
          <cell r="H22">
            <v>1430</v>
          </cell>
          <cell r="I22">
            <v>10</v>
          </cell>
          <cell r="J22" t="str">
            <v>–</v>
          </cell>
          <cell r="K22">
            <v>10</v>
          </cell>
          <cell r="L22" t="str">
            <v>–</v>
          </cell>
          <cell r="M22" t="str">
            <v>–</v>
          </cell>
          <cell r="N22" t="str">
            <v>–</v>
          </cell>
          <cell r="O22">
            <v>945</v>
          </cell>
          <cell r="P22">
            <v>495</v>
          </cell>
          <cell r="Q22">
            <v>1440</v>
          </cell>
        </row>
        <row r="23">
          <cell r="A23">
            <v>11250</v>
          </cell>
          <cell r="B23">
            <v>11749.99</v>
          </cell>
          <cell r="C23">
            <v>11500</v>
          </cell>
          <cell r="D23" t="str">
            <v>–</v>
          </cell>
          <cell r="E23">
            <v>11500</v>
          </cell>
          <cell r="F23">
            <v>977.5</v>
          </cell>
          <cell r="G23">
            <v>517.5</v>
          </cell>
          <cell r="H23">
            <v>1495</v>
          </cell>
          <cell r="I23">
            <v>10</v>
          </cell>
          <cell r="J23" t="str">
            <v>–</v>
          </cell>
          <cell r="K23">
            <v>10</v>
          </cell>
          <cell r="L23" t="str">
            <v>–</v>
          </cell>
          <cell r="M23" t="str">
            <v>–</v>
          </cell>
          <cell r="N23" t="str">
            <v>–</v>
          </cell>
          <cell r="O23">
            <v>987.5</v>
          </cell>
          <cell r="P23">
            <v>517.5</v>
          </cell>
          <cell r="Q23">
            <v>1505</v>
          </cell>
        </row>
        <row r="24">
          <cell r="A24">
            <v>11750</v>
          </cell>
          <cell r="B24">
            <v>12249.99</v>
          </cell>
          <cell r="C24">
            <v>12000</v>
          </cell>
          <cell r="D24" t="str">
            <v>–</v>
          </cell>
          <cell r="E24">
            <v>12000</v>
          </cell>
          <cell r="F24">
            <v>1020</v>
          </cell>
          <cell r="G24">
            <v>540</v>
          </cell>
          <cell r="H24">
            <v>1560</v>
          </cell>
          <cell r="I24">
            <v>10</v>
          </cell>
          <cell r="J24" t="str">
            <v>–</v>
          </cell>
          <cell r="K24">
            <v>10</v>
          </cell>
          <cell r="L24" t="str">
            <v>–</v>
          </cell>
          <cell r="M24" t="str">
            <v>–</v>
          </cell>
          <cell r="N24" t="str">
            <v>–</v>
          </cell>
          <cell r="O24">
            <v>1030</v>
          </cell>
          <cell r="P24">
            <v>540</v>
          </cell>
          <cell r="Q24">
            <v>1570</v>
          </cell>
        </row>
        <row r="25">
          <cell r="A25">
            <v>12250</v>
          </cell>
          <cell r="B25">
            <v>12749.99</v>
          </cell>
          <cell r="C25">
            <v>12500</v>
          </cell>
          <cell r="D25" t="str">
            <v>–</v>
          </cell>
          <cell r="E25">
            <v>12500</v>
          </cell>
          <cell r="F25">
            <v>1062.5</v>
          </cell>
          <cell r="G25">
            <v>562.5</v>
          </cell>
          <cell r="H25">
            <v>1625</v>
          </cell>
          <cell r="I25">
            <v>10</v>
          </cell>
          <cell r="J25" t="str">
            <v>–</v>
          </cell>
          <cell r="K25">
            <v>10</v>
          </cell>
          <cell r="L25" t="str">
            <v>–</v>
          </cell>
          <cell r="M25" t="str">
            <v>–</v>
          </cell>
          <cell r="N25" t="str">
            <v>–</v>
          </cell>
          <cell r="O25">
            <v>1072.5</v>
          </cell>
          <cell r="P25">
            <v>562.5</v>
          </cell>
          <cell r="Q25">
            <v>1635</v>
          </cell>
        </row>
        <row r="26">
          <cell r="A26">
            <v>12750</v>
          </cell>
          <cell r="B26">
            <v>13249.99</v>
          </cell>
          <cell r="C26">
            <v>13000</v>
          </cell>
          <cell r="D26" t="str">
            <v>–</v>
          </cell>
          <cell r="E26">
            <v>13000</v>
          </cell>
          <cell r="F26">
            <v>1105</v>
          </cell>
          <cell r="G26">
            <v>585</v>
          </cell>
          <cell r="H26">
            <v>1690</v>
          </cell>
          <cell r="I26">
            <v>10</v>
          </cell>
          <cell r="J26" t="str">
            <v>–</v>
          </cell>
          <cell r="K26">
            <v>10</v>
          </cell>
          <cell r="L26" t="str">
            <v>–</v>
          </cell>
          <cell r="M26" t="str">
            <v>–</v>
          </cell>
          <cell r="N26" t="str">
            <v>–</v>
          </cell>
          <cell r="O26">
            <v>1115</v>
          </cell>
          <cell r="P26">
            <v>585</v>
          </cell>
          <cell r="Q26">
            <v>1700</v>
          </cell>
        </row>
        <row r="27">
          <cell r="A27">
            <v>13250</v>
          </cell>
          <cell r="B27">
            <v>13749.99</v>
          </cell>
          <cell r="C27">
            <v>13500</v>
          </cell>
          <cell r="D27" t="str">
            <v>–</v>
          </cell>
          <cell r="E27">
            <v>13500</v>
          </cell>
          <cell r="F27">
            <v>1147.5</v>
          </cell>
          <cell r="G27">
            <v>607.5</v>
          </cell>
          <cell r="H27">
            <v>1755</v>
          </cell>
          <cell r="I27">
            <v>10</v>
          </cell>
          <cell r="J27" t="str">
            <v>–</v>
          </cell>
          <cell r="K27">
            <v>10</v>
          </cell>
          <cell r="L27" t="str">
            <v>–</v>
          </cell>
          <cell r="M27" t="str">
            <v>–</v>
          </cell>
          <cell r="N27" t="str">
            <v>–</v>
          </cell>
          <cell r="O27">
            <v>1157.5</v>
          </cell>
          <cell r="P27">
            <v>607.5</v>
          </cell>
          <cell r="Q27">
            <v>1765</v>
          </cell>
        </row>
        <row r="28">
          <cell r="A28">
            <v>13750</v>
          </cell>
          <cell r="B28">
            <v>14249.99</v>
          </cell>
          <cell r="C28">
            <v>14000</v>
          </cell>
          <cell r="D28" t="str">
            <v>–</v>
          </cell>
          <cell r="E28">
            <v>14000</v>
          </cell>
          <cell r="F28">
            <v>1190</v>
          </cell>
          <cell r="G28">
            <v>630</v>
          </cell>
          <cell r="H28">
            <v>1820</v>
          </cell>
          <cell r="I28">
            <v>10</v>
          </cell>
          <cell r="J28" t="str">
            <v>–</v>
          </cell>
          <cell r="K28">
            <v>10</v>
          </cell>
          <cell r="L28" t="str">
            <v>–</v>
          </cell>
          <cell r="M28" t="str">
            <v>–</v>
          </cell>
          <cell r="N28" t="str">
            <v>–</v>
          </cell>
          <cell r="O28">
            <v>1200</v>
          </cell>
          <cell r="P28">
            <v>630</v>
          </cell>
          <cell r="Q28">
            <v>1830</v>
          </cell>
        </row>
        <row r="29">
          <cell r="A29">
            <v>14250</v>
          </cell>
          <cell r="B29">
            <v>14749.99</v>
          </cell>
          <cell r="C29">
            <v>14500</v>
          </cell>
          <cell r="D29" t="str">
            <v>–</v>
          </cell>
          <cell r="E29">
            <v>14500</v>
          </cell>
          <cell r="F29">
            <v>1232.5</v>
          </cell>
          <cell r="G29">
            <v>652.5</v>
          </cell>
          <cell r="H29">
            <v>1885</v>
          </cell>
          <cell r="I29">
            <v>10</v>
          </cell>
          <cell r="J29" t="str">
            <v>–</v>
          </cell>
          <cell r="K29">
            <v>10</v>
          </cell>
          <cell r="L29" t="str">
            <v>–</v>
          </cell>
          <cell r="M29" t="str">
            <v>–</v>
          </cell>
          <cell r="N29" t="str">
            <v>–</v>
          </cell>
          <cell r="O29">
            <v>1242.5</v>
          </cell>
          <cell r="P29">
            <v>652.5</v>
          </cell>
          <cell r="Q29">
            <v>1895</v>
          </cell>
        </row>
        <row r="30">
          <cell r="A30">
            <v>14750</v>
          </cell>
          <cell r="B30">
            <v>15249.99</v>
          </cell>
          <cell r="C30">
            <v>15000</v>
          </cell>
          <cell r="D30" t="str">
            <v>–</v>
          </cell>
          <cell r="E30">
            <v>15000</v>
          </cell>
          <cell r="F30">
            <v>1275</v>
          </cell>
          <cell r="G30">
            <v>675</v>
          </cell>
          <cell r="H30">
            <v>1950</v>
          </cell>
          <cell r="I30">
            <v>30</v>
          </cell>
          <cell r="J30" t="str">
            <v>–</v>
          </cell>
          <cell r="K30">
            <v>30</v>
          </cell>
          <cell r="L30" t="str">
            <v>–</v>
          </cell>
          <cell r="M30" t="str">
            <v>–</v>
          </cell>
          <cell r="N30" t="str">
            <v>–</v>
          </cell>
          <cell r="O30">
            <v>1305</v>
          </cell>
          <cell r="P30">
            <v>675</v>
          </cell>
          <cell r="Q30">
            <v>1980</v>
          </cell>
        </row>
        <row r="31">
          <cell r="A31">
            <v>15250</v>
          </cell>
          <cell r="B31">
            <v>15749.99</v>
          </cell>
          <cell r="C31">
            <v>15500</v>
          </cell>
          <cell r="D31" t="str">
            <v>–</v>
          </cell>
          <cell r="E31">
            <v>15500</v>
          </cell>
          <cell r="F31">
            <v>1317.5</v>
          </cell>
          <cell r="G31">
            <v>697.5</v>
          </cell>
          <cell r="H31">
            <v>2015</v>
          </cell>
          <cell r="I31">
            <v>30</v>
          </cell>
          <cell r="J31" t="str">
            <v>–</v>
          </cell>
          <cell r="K31">
            <v>30</v>
          </cell>
          <cell r="L31" t="str">
            <v>–</v>
          </cell>
          <cell r="M31" t="str">
            <v>–</v>
          </cell>
          <cell r="N31" t="str">
            <v>–</v>
          </cell>
          <cell r="O31">
            <v>1347.5</v>
          </cell>
          <cell r="P31">
            <v>697.5</v>
          </cell>
          <cell r="Q31">
            <v>2045</v>
          </cell>
        </row>
        <row r="32">
          <cell r="A32">
            <v>15750</v>
          </cell>
          <cell r="B32">
            <v>16249.99</v>
          </cell>
          <cell r="C32">
            <v>16000</v>
          </cell>
          <cell r="D32" t="str">
            <v>–</v>
          </cell>
          <cell r="E32">
            <v>16000</v>
          </cell>
          <cell r="F32">
            <v>1360</v>
          </cell>
          <cell r="G32">
            <v>720</v>
          </cell>
          <cell r="H32">
            <v>2080</v>
          </cell>
          <cell r="I32">
            <v>30</v>
          </cell>
          <cell r="J32" t="str">
            <v>–</v>
          </cell>
          <cell r="K32">
            <v>30</v>
          </cell>
          <cell r="L32" t="str">
            <v>–</v>
          </cell>
          <cell r="M32" t="str">
            <v>–</v>
          </cell>
          <cell r="N32" t="str">
            <v>–</v>
          </cell>
          <cell r="O32">
            <v>1390</v>
          </cell>
          <cell r="P32">
            <v>720</v>
          </cell>
          <cell r="Q32">
            <v>2110</v>
          </cell>
        </row>
        <row r="33">
          <cell r="A33">
            <v>16250</v>
          </cell>
          <cell r="B33">
            <v>16749.990000000002</v>
          </cell>
          <cell r="C33">
            <v>16500</v>
          </cell>
          <cell r="D33" t="str">
            <v>–</v>
          </cell>
          <cell r="E33">
            <v>16500</v>
          </cell>
          <cell r="F33">
            <v>1402.5</v>
          </cell>
          <cell r="G33">
            <v>742.5</v>
          </cell>
          <cell r="H33">
            <v>2145</v>
          </cell>
          <cell r="I33">
            <v>30</v>
          </cell>
          <cell r="J33" t="str">
            <v>–</v>
          </cell>
          <cell r="K33">
            <v>30</v>
          </cell>
          <cell r="L33" t="str">
            <v>–</v>
          </cell>
          <cell r="M33" t="str">
            <v>–</v>
          </cell>
          <cell r="N33" t="str">
            <v>–</v>
          </cell>
          <cell r="O33">
            <v>1432.5</v>
          </cell>
          <cell r="P33">
            <v>742.5</v>
          </cell>
          <cell r="Q33">
            <v>2175</v>
          </cell>
        </row>
        <row r="34">
          <cell r="A34">
            <v>16750</v>
          </cell>
          <cell r="B34">
            <v>17249.990000000002</v>
          </cell>
          <cell r="C34">
            <v>17000</v>
          </cell>
          <cell r="D34" t="str">
            <v>–</v>
          </cell>
          <cell r="E34">
            <v>17000</v>
          </cell>
          <cell r="F34">
            <v>1445</v>
          </cell>
          <cell r="G34">
            <v>765</v>
          </cell>
          <cell r="H34">
            <v>2210</v>
          </cell>
          <cell r="I34">
            <v>30</v>
          </cell>
          <cell r="J34" t="str">
            <v>–</v>
          </cell>
          <cell r="K34">
            <v>30</v>
          </cell>
          <cell r="L34" t="str">
            <v>–</v>
          </cell>
          <cell r="M34" t="str">
            <v>–</v>
          </cell>
          <cell r="N34" t="str">
            <v>–</v>
          </cell>
          <cell r="O34">
            <v>1475</v>
          </cell>
          <cell r="P34">
            <v>765</v>
          </cell>
          <cell r="Q34">
            <v>2240</v>
          </cell>
        </row>
        <row r="35">
          <cell r="A35">
            <v>17250</v>
          </cell>
          <cell r="B35">
            <v>17749.990000000002</v>
          </cell>
          <cell r="C35">
            <v>17500</v>
          </cell>
          <cell r="D35" t="str">
            <v>–</v>
          </cell>
          <cell r="E35">
            <v>17500</v>
          </cell>
          <cell r="F35">
            <v>1487.5</v>
          </cell>
          <cell r="G35">
            <v>787.5</v>
          </cell>
          <cell r="H35">
            <v>2275</v>
          </cell>
          <cell r="I35">
            <v>30</v>
          </cell>
          <cell r="J35" t="str">
            <v>–</v>
          </cell>
          <cell r="K35">
            <v>30</v>
          </cell>
          <cell r="L35" t="str">
            <v>–</v>
          </cell>
          <cell r="M35" t="str">
            <v>–</v>
          </cell>
          <cell r="N35" t="str">
            <v>–</v>
          </cell>
          <cell r="O35">
            <v>1517.5</v>
          </cell>
          <cell r="P35">
            <v>787.5</v>
          </cell>
          <cell r="Q35">
            <v>2305</v>
          </cell>
        </row>
        <row r="36">
          <cell r="A36">
            <v>17750</v>
          </cell>
          <cell r="B36">
            <v>18249.990000000002</v>
          </cell>
          <cell r="C36">
            <v>18000</v>
          </cell>
          <cell r="D36" t="str">
            <v>–</v>
          </cell>
          <cell r="E36">
            <v>18000</v>
          </cell>
          <cell r="F36">
            <v>1530</v>
          </cell>
          <cell r="G36">
            <v>810</v>
          </cell>
          <cell r="H36">
            <v>2340</v>
          </cell>
          <cell r="I36">
            <v>30</v>
          </cell>
          <cell r="J36" t="str">
            <v>–</v>
          </cell>
          <cell r="K36">
            <v>30</v>
          </cell>
          <cell r="L36" t="str">
            <v>–</v>
          </cell>
          <cell r="M36" t="str">
            <v>–</v>
          </cell>
          <cell r="N36" t="str">
            <v>–</v>
          </cell>
          <cell r="O36">
            <v>1560</v>
          </cell>
          <cell r="P36">
            <v>810</v>
          </cell>
          <cell r="Q36">
            <v>2370</v>
          </cell>
        </row>
        <row r="37">
          <cell r="A37">
            <v>18250</v>
          </cell>
          <cell r="B37">
            <v>18749.990000000002</v>
          </cell>
          <cell r="C37">
            <v>18500</v>
          </cell>
          <cell r="D37" t="str">
            <v>–</v>
          </cell>
          <cell r="E37">
            <v>18500</v>
          </cell>
          <cell r="F37">
            <v>1572.5</v>
          </cell>
          <cell r="G37">
            <v>832.5</v>
          </cell>
          <cell r="H37">
            <v>2405</v>
          </cell>
          <cell r="I37">
            <v>30</v>
          </cell>
          <cell r="J37" t="str">
            <v>–</v>
          </cell>
          <cell r="K37">
            <v>30</v>
          </cell>
          <cell r="L37" t="str">
            <v>–</v>
          </cell>
          <cell r="M37" t="str">
            <v>–</v>
          </cell>
          <cell r="N37" t="str">
            <v>–</v>
          </cell>
          <cell r="O37">
            <v>1602.5</v>
          </cell>
          <cell r="P37">
            <v>832.5</v>
          </cell>
          <cell r="Q37">
            <v>2435</v>
          </cell>
        </row>
        <row r="38">
          <cell r="A38">
            <v>18750</v>
          </cell>
          <cell r="B38">
            <v>19249.990000000002</v>
          </cell>
          <cell r="C38">
            <v>19000</v>
          </cell>
          <cell r="D38" t="str">
            <v>–</v>
          </cell>
          <cell r="E38">
            <v>19000</v>
          </cell>
          <cell r="F38">
            <v>1615</v>
          </cell>
          <cell r="G38">
            <v>855</v>
          </cell>
          <cell r="H38">
            <v>2470</v>
          </cell>
          <cell r="I38">
            <v>30</v>
          </cell>
          <cell r="J38" t="str">
            <v>–</v>
          </cell>
          <cell r="K38">
            <v>30</v>
          </cell>
          <cell r="L38" t="str">
            <v>–</v>
          </cell>
          <cell r="M38" t="str">
            <v>–</v>
          </cell>
          <cell r="N38" t="str">
            <v>–</v>
          </cell>
          <cell r="O38">
            <v>1645</v>
          </cell>
          <cell r="P38">
            <v>855</v>
          </cell>
          <cell r="Q38">
            <v>2500</v>
          </cell>
        </row>
        <row r="39">
          <cell r="A39">
            <v>19250</v>
          </cell>
          <cell r="B39">
            <v>19749.990000000002</v>
          </cell>
          <cell r="C39">
            <v>19500</v>
          </cell>
          <cell r="D39" t="str">
            <v>–</v>
          </cell>
          <cell r="E39">
            <v>19500</v>
          </cell>
          <cell r="F39">
            <v>1657.5</v>
          </cell>
          <cell r="G39">
            <v>877.5</v>
          </cell>
          <cell r="H39">
            <v>2535</v>
          </cell>
          <cell r="I39">
            <v>30</v>
          </cell>
          <cell r="J39" t="str">
            <v>–</v>
          </cell>
          <cell r="K39">
            <v>30</v>
          </cell>
          <cell r="L39" t="str">
            <v>–</v>
          </cell>
          <cell r="M39" t="str">
            <v>–</v>
          </cell>
          <cell r="N39" t="str">
            <v>–</v>
          </cell>
          <cell r="O39">
            <v>1687.5</v>
          </cell>
          <cell r="P39">
            <v>877.5</v>
          </cell>
          <cell r="Q39">
            <v>2565</v>
          </cell>
        </row>
        <row r="40">
          <cell r="A40">
            <v>19750</v>
          </cell>
          <cell r="B40">
            <v>20249.990000000002</v>
          </cell>
          <cell r="C40">
            <v>20000</v>
          </cell>
          <cell r="D40" t="str">
            <v>–</v>
          </cell>
          <cell r="E40">
            <v>20000</v>
          </cell>
          <cell r="F40">
            <v>1700</v>
          </cell>
          <cell r="G40">
            <v>900</v>
          </cell>
          <cell r="H40">
            <v>2600</v>
          </cell>
          <cell r="I40">
            <v>30</v>
          </cell>
          <cell r="J40" t="str">
            <v>–</v>
          </cell>
          <cell r="K40">
            <v>30</v>
          </cell>
          <cell r="L40" t="str">
            <v>–</v>
          </cell>
          <cell r="M40" t="str">
            <v>–</v>
          </cell>
          <cell r="N40" t="str">
            <v>–</v>
          </cell>
          <cell r="O40">
            <v>1730</v>
          </cell>
          <cell r="P40">
            <v>900</v>
          </cell>
          <cell r="Q40">
            <v>2630</v>
          </cell>
        </row>
        <row r="41">
          <cell r="A41">
            <v>20250</v>
          </cell>
          <cell r="B41">
            <v>20749.990000000002</v>
          </cell>
          <cell r="C41">
            <v>20000</v>
          </cell>
          <cell r="D41">
            <v>500</v>
          </cell>
          <cell r="E41">
            <v>20500</v>
          </cell>
          <cell r="F41">
            <v>1700</v>
          </cell>
          <cell r="G41">
            <v>900</v>
          </cell>
          <cell r="H41">
            <v>2600</v>
          </cell>
          <cell r="I41">
            <v>30</v>
          </cell>
          <cell r="J41" t="str">
            <v>–</v>
          </cell>
          <cell r="K41">
            <v>30</v>
          </cell>
          <cell r="L41">
            <v>42.5</v>
          </cell>
          <cell r="M41">
            <v>22.5</v>
          </cell>
          <cell r="N41">
            <v>65</v>
          </cell>
          <cell r="O41">
            <v>1772.5</v>
          </cell>
          <cell r="P41">
            <v>922.5</v>
          </cell>
          <cell r="Q41">
            <v>2695</v>
          </cell>
        </row>
        <row r="42">
          <cell r="A42">
            <v>20750</v>
          </cell>
          <cell r="B42">
            <v>21249.99</v>
          </cell>
          <cell r="C42">
            <v>20000</v>
          </cell>
          <cell r="D42">
            <v>1000</v>
          </cell>
          <cell r="E42">
            <v>21000</v>
          </cell>
          <cell r="F42">
            <v>1700</v>
          </cell>
          <cell r="G42">
            <v>900</v>
          </cell>
          <cell r="H42">
            <v>2600</v>
          </cell>
          <cell r="I42">
            <v>30</v>
          </cell>
          <cell r="J42" t="str">
            <v>–</v>
          </cell>
          <cell r="K42">
            <v>30</v>
          </cell>
          <cell r="L42">
            <v>85</v>
          </cell>
          <cell r="M42">
            <v>45</v>
          </cell>
          <cell r="N42">
            <v>130</v>
          </cell>
          <cell r="O42">
            <v>1815</v>
          </cell>
          <cell r="P42">
            <v>945</v>
          </cell>
          <cell r="Q42">
            <v>2760</v>
          </cell>
        </row>
        <row r="43">
          <cell r="A43">
            <v>21250</v>
          </cell>
          <cell r="B43">
            <v>21749.99</v>
          </cell>
          <cell r="C43">
            <v>20000</v>
          </cell>
          <cell r="D43">
            <v>1500</v>
          </cell>
          <cell r="E43">
            <v>21500</v>
          </cell>
          <cell r="F43">
            <v>1700</v>
          </cell>
          <cell r="G43">
            <v>900</v>
          </cell>
          <cell r="H43">
            <v>2600</v>
          </cell>
          <cell r="I43">
            <v>30</v>
          </cell>
          <cell r="J43" t="str">
            <v>–</v>
          </cell>
          <cell r="K43">
            <v>30</v>
          </cell>
          <cell r="L43">
            <v>127.5</v>
          </cell>
          <cell r="M43">
            <v>67.5</v>
          </cell>
          <cell r="N43">
            <v>195</v>
          </cell>
          <cell r="O43">
            <v>1857.5</v>
          </cell>
          <cell r="P43">
            <v>967.5</v>
          </cell>
          <cell r="Q43">
            <v>2825</v>
          </cell>
        </row>
        <row r="44">
          <cell r="A44">
            <v>21750</v>
          </cell>
          <cell r="B44">
            <v>22249.99</v>
          </cell>
          <cell r="C44">
            <v>20000</v>
          </cell>
          <cell r="D44">
            <v>2000</v>
          </cell>
          <cell r="E44">
            <v>22000</v>
          </cell>
          <cell r="F44">
            <v>1700</v>
          </cell>
          <cell r="G44">
            <v>900</v>
          </cell>
          <cell r="H44">
            <v>2600</v>
          </cell>
          <cell r="I44">
            <v>30</v>
          </cell>
          <cell r="J44" t="str">
            <v>–</v>
          </cell>
          <cell r="K44">
            <v>30</v>
          </cell>
          <cell r="L44">
            <v>170</v>
          </cell>
          <cell r="M44">
            <v>90</v>
          </cell>
          <cell r="N44">
            <v>260</v>
          </cell>
          <cell r="O44">
            <v>1900</v>
          </cell>
          <cell r="P44">
            <v>990</v>
          </cell>
          <cell r="Q44">
            <v>2890</v>
          </cell>
        </row>
        <row r="45">
          <cell r="A45">
            <v>22250</v>
          </cell>
          <cell r="B45">
            <v>22749.99</v>
          </cell>
          <cell r="C45">
            <v>20000</v>
          </cell>
          <cell r="D45">
            <v>2500</v>
          </cell>
          <cell r="E45">
            <v>22500</v>
          </cell>
          <cell r="F45">
            <v>1700</v>
          </cell>
          <cell r="G45">
            <v>900</v>
          </cell>
          <cell r="H45">
            <v>2600</v>
          </cell>
          <cell r="I45">
            <v>30</v>
          </cell>
          <cell r="J45" t="str">
            <v>–</v>
          </cell>
          <cell r="K45">
            <v>30</v>
          </cell>
          <cell r="L45">
            <v>212.5</v>
          </cell>
          <cell r="M45">
            <v>112.5</v>
          </cell>
          <cell r="N45">
            <v>325</v>
          </cell>
          <cell r="O45">
            <v>1942.5</v>
          </cell>
          <cell r="P45">
            <v>1012.5</v>
          </cell>
          <cell r="Q45">
            <v>2955</v>
          </cell>
        </row>
        <row r="46">
          <cell r="A46">
            <v>22750</v>
          </cell>
          <cell r="B46">
            <v>23249.99</v>
          </cell>
          <cell r="C46">
            <v>20000</v>
          </cell>
          <cell r="D46">
            <v>3000</v>
          </cell>
          <cell r="E46">
            <v>23000</v>
          </cell>
          <cell r="F46">
            <v>1700</v>
          </cell>
          <cell r="G46">
            <v>900</v>
          </cell>
          <cell r="H46">
            <v>2600</v>
          </cell>
          <cell r="I46">
            <v>30</v>
          </cell>
          <cell r="J46" t="str">
            <v>–</v>
          </cell>
          <cell r="K46">
            <v>30</v>
          </cell>
          <cell r="L46">
            <v>255</v>
          </cell>
          <cell r="M46">
            <v>135</v>
          </cell>
          <cell r="N46">
            <v>390</v>
          </cell>
          <cell r="O46">
            <v>1985</v>
          </cell>
          <cell r="P46">
            <v>1035</v>
          </cell>
          <cell r="Q46">
            <v>3020</v>
          </cell>
        </row>
        <row r="47">
          <cell r="A47">
            <v>23250</v>
          </cell>
          <cell r="B47">
            <v>23749.99</v>
          </cell>
          <cell r="C47">
            <v>20000</v>
          </cell>
          <cell r="D47">
            <v>3500</v>
          </cell>
          <cell r="E47">
            <v>23500</v>
          </cell>
          <cell r="F47">
            <v>1700</v>
          </cell>
          <cell r="G47">
            <v>900</v>
          </cell>
          <cell r="H47">
            <v>2600</v>
          </cell>
          <cell r="I47">
            <v>30</v>
          </cell>
          <cell r="J47" t="str">
            <v>–</v>
          </cell>
          <cell r="K47">
            <v>30</v>
          </cell>
          <cell r="L47">
            <v>297.5</v>
          </cell>
          <cell r="M47">
            <v>157.5</v>
          </cell>
          <cell r="N47">
            <v>455</v>
          </cell>
          <cell r="O47">
            <v>2027.5</v>
          </cell>
          <cell r="P47">
            <v>1057.5</v>
          </cell>
          <cell r="Q47">
            <v>3085</v>
          </cell>
        </row>
        <row r="48">
          <cell r="A48">
            <v>23750</v>
          </cell>
          <cell r="B48">
            <v>24249.99</v>
          </cell>
          <cell r="C48">
            <v>20000</v>
          </cell>
          <cell r="D48">
            <v>4000</v>
          </cell>
          <cell r="E48">
            <v>24000</v>
          </cell>
          <cell r="F48">
            <v>1700</v>
          </cell>
          <cell r="G48">
            <v>900</v>
          </cell>
          <cell r="H48">
            <v>2600</v>
          </cell>
          <cell r="I48">
            <v>30</v>
          </cell>
          <cell r="J48" t="str">
            <v>–</v>
          </cell>
          <cell r="K48">
            <v>30</v>
          </cell>
          <cell r="L48">
            <v>340</v>
          </cell>
          <cell r="M48">
            <v>180</v>
          </cell>
          <cell r="N48">
            <v>520</v>
          </cell>
          <cell r="O48">
            <v>2070</v>
          </cell>
          <cell r="P48">
            <v>1080</v>
          </cell>
          <cell r="Q48">
            <v>3150</v>
          </cell>
        </row>
        <row r="49">
          <cell r="A49">
            <v>24250</v>
          </cell>
          <cell r="B49">
            <v>24749.99</v>
          </cell>
          <cell r="C49">
            <v>20000</v>
          </cell>
          <cell r="D49">
            <v>4500</v>
          </cell>
          <cell r="E49">
            <v>24500</v>
          </cell>
          <cell r="F49">
            <v>1700</v>
          </cell>
          <cell r="G49">
            <v>900</v>
          </cell>
          <cell r="H49">
            <v>2600</v>
          </cell>
          <cell r="I49">
            <v>30</v>
          </cell>
          <cell r="J49" t="str">
            <v>–</v>
          </cell>
          <cell r="K49">
            <v>30</v>
          </cell>
          <cell r="L49">
            <v>382.5</v>
          </cell>
          <cell r="M49">
            <v>202.5</v>
          </cell>
          <cell r="N49">
            <v>585</v>
          </cell>
          <cell r="O49">
            <v>2112.5</v>
          </cell>
          <cell r="P49">
            <v>1102.5</v>
          </cell>
          <cell r="Q49">
            <v>3215</v>
          </cell>
        </row>
        <row r="50">
          <cell r="A50">
            <v>24750</v>
          </cell>
          <cell r="B50" t="str">
            <v>over</v>
          </cell>
          <cell r="C50">
            <v>20000</v>
          </cell>
          <cell r="D50">
            <v>5000</v>
          </cell>
          <cell r="E50">
            <v>25000</v>
          </cell>
          <cell r="F50">
            <v>1700</v>
          </cell>
          <cell r="G50">
            <v>900</v>
          </cell>
          <cell r="H50">
            <v>2600</v>
          </cell>
          <cell r="I50">
            <v>30</v>
          </cell>
          <cell r="J50" t="str">
            <v>–</v>
          </cell>
          <cell r="K50">
            <v>30</v>
          </cell>
          <cell r="L50">
            <v>425</v>
          </cell>
          <cell r="M50">
            <v>225</v>
          </cell>
          <cell r="N50">
            <v>650</v>
          </cell>
          <cell r="O50">
            <v>2155</v>
          </cell>
          <cell r="P50">
            <v>1125</v>
          </cell>
          <cell r="Q50">
            <v>3280</v>
          </cell>
        </row>
      </sheetData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LATE ABSENCE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deductions_SSS"/>
      <sheetName val="deductions_pag ibig"/>
      <sheetName val="other ded_HMO"/>
      <sheetName val="TAX"/>
      <sheetName val="SSSrates"/>
      <sheetName val="2023 SSS"/>
      <sheetName val="G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  <row r="2">
          <cell r="AA2" t="str">
            <v>EARNINGS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AA3" t="str">
            <v>NAME</v>
          </cell>
          <cell r="AB3" t="str">
            <v>BASIC RATE</v>
          </cell>
          <cell r="AC3" t="str">
            <v>COLA</v>
          </cell>
          <cell r="AD3" t="str">
            <v>TRANS ALLW</v>
          </cell>
          <cell r="AE3" t="str">
            <v>RICE SUBSI</v>
          </cell>
          <cell r="AF3" t="str">
            <v>HOLIDAY PAY</v>
          </cell>
          <cell r="AG3" t="str">
            <v>NITE DIFF</v>
          </cell>
          <cell r="AH3" t="str">
            <v>OT PAY</v>
          </cell>
          <cell r="AI3" t="str">
            <v>ACTING ALLW</v>
          </cell>
          <cell r="AJ3" t="str">
            <v>OTHER ADD</v>
          </cell>
          <cell r="AK3" t="str">
            <v>GROSS EARNINGS</v>
          </cell>
        </row>
        <row r="4">
          <cell r="AA4" t="str">
            <v>NAME</v>
          </cell>
          <cell r="AB4" t="str">
            <v>BASIC RATE</v>
          </cell>
          <cell r="AC4" t="str">
            <v>COLA</v>
          </cell>
          <cell r="AD4" t="str">
            <v>TRANS ALLW</v>
          </cell>
          <cell r="AE4" t="str">
            <v>RICE SUBSI</v>
          </cell>
          <cell r="AF4" t="str">
            <v>HOLIDAY PAY</v>
          </cell>
          <cell r="AG4" t="str">
            <v>NITE DIFF</v>
          </cell>
          <cell r="AH4" t="str">
            <v>OT PAY</v>
          </cell>
          <cell r="AI4" t="str">
            <v>ACTING ALLW</v>
          </cell>
          <cell r="AJ4" t="str">
            <v>OTHER ADD</v>
          </cell>
          <cell r="AK4" t="str">
            <v>GROSS EARNINGS</v>
          </cell>
        </row>
        <row r="5">
          <cell r="AA5" t="str">
            <v>Tuvalles, Jonathan Laurence</v>
          </cell>
          <cell r="AB5">
            <v>41369.31</v>
          </cell>
          <cell r="AC5">
            <v>0</v>
          </cell>
          <cell r="AD5">
            <v>0</v>
          </cell>
          <cell r="AE5">
            <v>0</v>
          </cell>
          <cell r="AF5">
            <v>1993.7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43363.01</v>
          </cell>
        </row>
        <row r="6">
          <cell r="AA6">
            <v>0</v>
          </cell>
          <cell r="AB6">
            <v>41369.31</v>
          </cell>
          <cell r="AC6">
            <v>0</v>
          </cell>
          <cell r="AD6">
            <v>0</v>
          </cell>
          <cell r="AE6">
            <v>0</v>
          </cell>
          <cell r="AF6">
            <v>1993.7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43363.01</v>
          </cell>
        </row>
        <row r="7">
          <cell r="AA7" t="str">
            <v>Cabanal, Karlo Ian</v>
          </cell>
          <cell r="AB7">
            <v>28693.599999999999</v>
          </cell>
          <cell r="AC7">
            <v>0</v>
          </cell>
          <cell r="AD7">
            <v>0</v>
          </cell>
          <cell r="AE7">
            <v>0</v>
          </cell>
          <cell r="AF7">
            <v>1382.82</v>
          </cell>
          <cell r="AG7">
            <v>0</v>
          </cell>
          <cell r="AH7">
            <v>0</v>
          </cell>
          <cell r="AI7">
            <v>5000</v>
          </cell>
          <cell r="AJ7">
            <v>0</v>
          </cell>
          <cell r="AK7">
            <v>35076.42</v>
          </cell>
        </row>
        <row r="8">
          <cell r="AA8">
            <v>0</v>
          </cell>
          <cell r="AB8">
            <v>28693.599999999999</v>
          </cell>
          <cell r="AC8">
            <v>0</v>
          </cell>
          <cell r="AD8">
            <v>0</v>
          </cell>
          <cell r="AE8">
            <v>0</v>
          </cell>
          <cell r="AF8">
            <v>1382.82</v>
          </cell>
          <cell r="AG8">
            <v>0</v>
          </cell>
          <cell r="AH8">
            <v>0</v>
          </cell>
          <cell r="AI8">
            <v>5000</v>
          </cell>
          <cell r="AJ8">
            <v>0</v>
          </cell>
          <cell r="AK8">
            <v>35076.42</v>
          </cell>
        </row>
        <row r="9">
          <cell r="AA9" t="str">
            <v>Selga, Rolando</v>
          </cell>
          <cell r="AB9">
            <v>18744</v>
          </cell>
          <cell r="AC9">
            <v>0</v>
          </cell>
          <cell r="AD9">
            <v>0</v>
          </cell>
          <cell r="AE9">
            <v>0</v>
          </cell>
          <cell r="AF9">
            <v>903.33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19647.330000000002</v>
          </cell>
        </row>
        <row r="10">
          <cell r="AA10">
            <v>0</v>
          </cell>
          <cell r="AB10">
            <v>18744</v>
          </cell>
          <cell r="AC10">
            <v>0</v>
          </cell>
          <cell r="AD10">
            <v>0</v>
          </cell>
          <cell r="AE10">
            <v>0</v>
          </cell>
          <cell r="AF10">
            <v>903.33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19647.330000000002</v>
          </cell>
        </row>
        <row r="11">
          <cell r="AA11" t="str">
            <v>Buenafe, Ive Hope</v>
          </cell>
          <cell r="AB11">
            <v>34849.01</v>
          </cell>
          <cell r="AC11">
            <v>0</v>
          </cell>
          <cell r="AD11">
            <v>0</v>
          </cell>
          <cell r="AE11">
            <v>0</v>
          </cell>
          <cell r="AF11">
            <v>1679.47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36528.480000000003</v>
          </cell>
        </row>
        <row r="12">
          <cell r="AA12" t="str">
            <v>Denila, Jane</v>
          </cell>
          <cell r="AB12">
            <v>31681.46</v>
          </cell>
          <cell r="AC12">
            <v>0</v>
          </cell>
          <cell r="AD12">
            <v>0</v>
          </cell>
          <cell r="AE12">
            <v>0</v>
          </cell>
          <cell r="AF12">
            <v>1526.82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33208.28</v>
          </cell>
        </row>
        <row r="13">
          <cell r="AA13">
            <v>0</v>
          </cell>
          <cell r="AB13">
            <v>66530.47</v>
          </cell>
          <cell r="AC13">
            <v>0</v>
          </cell>
          <cell r="AD13">
            <v>0</v>
          </cell>
          <cell r="AE13">
            <v>0</v>
          </cell>
          <cell r="AF13">
            <v>3206.29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69736.759999999995</v>
          </cell>
        </row>
        <row r="14">
          <cell r="AA14" t="str">
            <v>Total</v>
          </cell>
          <cell r="AB14">
            <v>155337.38</v>
          </cell>
          <cell r="AC14">
            <v>0</v>
          </cell>
          <cell r="AD14">
            <v>0</v>
          </cell>
          <cell r="AE14">
            <v>0</v>
          </cell>
          <cell r="AF14">
            <v>7486.14</v>
          </cell>
          <cell r="AG14">
            <v>0</v>
          </cell>
          <cell r="AH14">
            <v>0</v>
          </cell>
          <cell r="AI14">
            <v>5000</v>
          </cell>
          <cell r="AJ14">
            <v>0</v>
          </cell>
          <cell r="AK14">
            <v>167823.52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A19" t="str">
            <v>NAME</v>
          </cell>
          <cell r="AB19" t="str">
            <v>BASIC RATE</v>
          </cell>
          <cell r="AC19" t="str">
            <v>COLA</v>
          </cell>
          <cell r="AD19" t="str">
            <v>TRANS ALLW</v>
          </cell>
          <cell r="AE19" t="str">
            <v>RICE SUBSI</v>
          </cell>
          <cell r="AF19" t="str">
            <v>HOLIDAY PAY</v>
          </cell>
          <cell r="AG19" t="str">
            <v>NITE DIFF</v>
          </cell>
          <cell r="AH19" t="str">
            <v>OT PAY</v>
          </cell>
          <cell r="AI19" t="str">
            <v>ACTING ALLW</v>
          </cell>
          <cell r="AJ19" t="str">
            <v>OTHER ADD</v>
          </cell>
          <cell r="AK19" t="str">
            <v>GROSS EARNINGS</v>
          </cell>
        </row>
        <row r="20">
          <cell r="AA20" t="str">
            <v>Llanora, Glicerio</v>
          </cell>
          <cell r="AB20">
            <v>8465.5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8465.5</v>
          </cell>
        </row>
        <row r="21">
          <cell r="AA21">
            <v>0</v>
          </cell>
          <cell r="AB21">
            <v>8465.5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8465.5</v>
          </cell>
        </row>
        <row r="22">
          <cell r="AA22" t="str">
            <v>Gomez, Dina Patricia</v>
          </cell>
          <cell r="AB22">
            <v>6500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6500</v>
          </cell>
        </row>
        <row r="23">
          <cell r="AA23">
            <v>0</v>
          </cell>
          <cell r="AB23">
            <v>6500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6500</v>
          </cell>
        </row>
        <row r="24">
          <cell r="AA24" t="str">
            <v>Total</v>
          </cell>
          <cell r="AB24">
            <v>14965.5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14965.5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A29" t="str">
            <v>NAME</v>
          </cell>
          <cell r="AB29" t="str">
            <v>BASIC RATE</v>
          </cell>
          <cell r="AC29" t="str">
            <v>COLA</v>
          </cell>
          <cell r="AD29" t="str">
            <v>TRANS ALLW</v>
          </cell>
          <cell r="AE29" t="str">
            <v>RICE SUBSI</v>
          </cell>
          <cell r="AF29" t="str">
            <v>HOLIDAY PAY</v>
          </cell>
          <cell r="AG29" t="str">
            <v>NITE DIFF</v>
          </cell>
          <cell r="AH29" t="str">
            <v>OT PAY</v>
          </cell>
          <cell r="AI29" t="str">
            <v>ACTING ALLW</v>
          </cell>
          <cell r="AJ29" t="str">
            <v>OTHER ADD</v>
          </cell>
          <cell r="AK29" t="str">
            <v>GROSS EARNINGS</v>
          </cell>
        </row>
        <row r="30">
          <cell r="AA30" t="str">
            <v>Constantino, Alfredo Jr</v>
          </cell>
          <cell r="AB30">
            <v>4668.75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4668.75</v>
          </cell>
        </row>
        <row r="31">
          <cell r="AA31" t="str">
            <v>Solo, Egan</v>
          </cell>
          <cell r="AB31">
            <v>4668.75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4668.75</v>
          </cell>
        </row>
        <row r="32">
          <cell r="AA32">
            <v>0</v>
          </cell>
          <cell r="AB32">
            <v>9337.5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9337.5</v>
          </cell>
        </row>
        <row r="33">
          <cell r="AA33" t="str">
            <v>Total</v>
          </cell>
          <cell r="AB33">
            <v>9337.5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9337.5</v>
          </cell>
        </row>
        <row r="34"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A38" t="str">
            <v>NAME</v>
          </cell>
          <cell r="AB38" t="str">
            <v>BASIC RATE</v>
          </cell>
          <cell r="AC38" t="str">
            <v>COLA</v>
          </cell>
          <cell r="AD38" t="str">
            <v>TRANS ALLW</v>
          </cell>
          <cell r="AE38" t="str">
            <v>RICE SUBSI</v>
          </cell>
          <cell r="AF38" t="str">
            <v>HOLIDAY PAY</v>
          </cell>
          <cell r="AG38" t="str">
            <v>NITE DIFF</v>
          </cell>
          <cell r="AH38" t="str">
            <v>OT PAY</v>
          </cell>
          <cell r="AI38" t="str">
            <v>ACTING ALLW</v>
          </cell>
          <cell r="AJ38" t="str">
            <v>OTHER ADD</v>
          </cell>
          <cell r="AK38" t="str">
            <v>GROSS EARNINGS</v>
          </cell>
        </row>
        <row r="39">
          <cell r="AA39" t="str">
            <v>Llanora, Glicerio</v>
          </cell>
          <cell r="AB39">
            <v>8465.5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8465.5</v>
          </cell>
        </row>
        <row r="40">
          <cell r="AA40">
            <v>0</v>
          </cell>
          <cell r="AB40">
            <v>8465.5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8465.5</v>
          </cell>
        </row>
        <row r="41">
          <cell r="AA41" t="str">
            <v>Gomez, Dina Patricia</v>
          </cell>
          <cell r="AB41">
            <v>6500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6500</v>
          </cell>
        </row>
        <row r="42">
          <cell r="AA42">
            <v>0</v>
          </cell>
          <cell r="AB42">
            <v>6500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6500</v>
          </cell>
        </row>
        <row r="43">
          <cell r="AA43" t="str">
            <v>Total</v>
          </cell>
          <cell r="AB43">
            <v>14965.5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14965.5</v>
          </cell>
        </row>
        <row r="44"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</row>
        <row r="46"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</row>
        <row r="47"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AA48" t="str">
            <v>NAME</v>
          </cell>
          <cell r="AB48" t="str">
            <v>BASIC RATE</v>
          </cell>
          <cell r="AC48" t="str">
            <v>COLA</v>
          </cell>
          <cell r="AD48" t="str">
            <v>TRANS ALLW</v>
          </cell>
          <cell r="AE48" t="str">
            <v>RICE SUBSI</v>
          </cell>
          <cell r="AF48" t="str">
            <v>HOLIDAY PAY</v>
          </cell>
          <cell r="AG48" t="str">
            <v>NITE DIFF</v>
          </cell>
          <cell r="AH48" t="str">
            <v>OT PAY</v>
          </cell>
          <cell r="AI48" t="str">
            <v>ACTING ALLW</v>
          </cell>
          <cell r="AJ48" t="str">
            <v>OTHER ADD</v>
          </cell>
          <cell r="AK48" t="str">
            <v>GROSS EARNINGS</v>
          </cell>
        </row>
        <row r="49">
          <cell r="AA49" t="str">
            <v>Constantino, Alfredo Jr</v>
          </cell>
          <cell r="AB49">
            <v>4668.75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4668.75</v>
          </cell>
        </row>
        <row r="50">
          <cell r="AA50" t="str">
            <v>Solo, Egan</v>
          </cell>
          <cell r="AB50">
            <v>4668.75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4668.75</v>
          </cell>
        </row>
        <row r="51">
          <cell r="AA51">
            <v>0</v>
          </cell>
          <cell r="AB51">
            <v>9337.5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9337.5</v>
          </cell>
        </row>
        <row r="52">
          <cell r="AA52" t="str">
            <v>Total</v>
          </cell>
          <cell r="AB52">
            <v>9337.5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9337.5</v>
          </cell>
        </row>
        <row r="53"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7">
          <cell r="AA57">
            <v>24</v>
          </cell>
          <cell r="AB57">
            <v>25</v>
          </cell>
          <cell r="AC57">
            <v>26</v>
          </cell>
          <cell r="AD57">
            <v>27</v>
          </cell>
          <cell r="AE57">
            <v>28</v>
          </cell>
          <cell r="AF57">
            <v>29</v>
          </cell>
          <cell r="AG57">
            <v>30</v>
          </cell>
          <cell r="AH57">
            <v>31</v>
          </cell>
          <cell r="AI57">
            <v>32</v>
          </cell>
          <cell r="AJ57">
            <v>33</v>
          </cell>
          <cell r="AK57">
            <v>34</v>
          </cell>
        </row>
        <row r="58">
          <cell r="AA58" t="str">
            <v>NAME</v>
          </cell>
          <cell r="AB58" t="str">
            <v>BASIC RATE</v>
          </cell>
          <cell r="AC58" t="str">
            <v>COLA</v>
          </cell>
          <cell r="AD58" t="str">
            <v>TRANS ALLW</v>
          </cell>
          <cell r="AE58" t="str">
            <v>RICE SUBSI</v>
          </cell>
          <cell r="AF58" t="str">
            <v>HOLIDAY PAY</v>
          </cell>
          <cell r="AG58" t="str">
            <v>NITE DIFF</v>
          </cell>
          <cell r="AH58" t="str">
            <v>OT PAY</v>
          </cell>
          <cell r="AI58" t="str">
            <v>ACTING ALLW</v>
          </cell>
          <cell r="AJ58" t="str">
            <v>OTHER ADD</v>
          </cell>
          <cell r="AK58" t="str">
            <v>GROSS EARNINGS</v>
          </cell>
        </row>
        <row r="59">
          <cell r="AA59" t="str">
            <v>Gomez, Dina Patricia</v>
          </cell>
          <cell r="AB59">
            <v>13000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13000</v>
          </cell>
        </row>
        <row r="60">
          <cell r="AA60" t="str">
            <v>Llanora, Glicerio</v>
          </cell>
          <cell r="AB60">
            <v>16931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16931</v>
          </cell>
        </row>
        <row r="61">
          <cell r="AA61" t="str">
            <v>Constantino, Alfredo Jr</v>
          </cell>
          <cell r="AB61">
            <v>9337.5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9337.5</v>
          </cell>
        </row>
        <row r="62">
          <cell r="AA62" t="str">
            <v>Solo, Egan</v>
          </cell>
          <cell r="AB62">
            <v>9337.5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9337.5</v>
          </cell>
        </row>
        <row r="63">
          <cell r="AA63" t="str">
            <v>Total</v>
          </cell>
          <cell r="AB63">
            <v>48606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48606</v>
          </cell>
        </row>
      </sheetData>
      <sheetData sheetId="9">
        <row r="1"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  <row r="2">
          <cell r="AA2" t="str">
            <v>EARNINGS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AA3" t="str">
            <v>NAME</v>
          </cell>
          <cell r="AB3" t="str">
            <v>BASIC RATE</v>
          </cell>
          <cell r="AC3" t="str">
            <v>COLA</v>
          </cell>
          <cell r="AD3" t="str">
            <v>TRANS ALLW</v>
          </cell>
          <cell r="AE3" t="str">
            <v>RICE SUBSI</v>
          </cell>
          <cell r="AF3" t="str">
            <v>HOLIDAY PAY</v>
          </cell>
          <cell r="AG3" t="str">
            <v>NITE DIFF</v>
          </cell>
          <cell r="AH3" t="str">
            <v>OT PAY</v>
          </cell>
          <cell r="AI3" t="str">
            <v>ACTING ALLW</v>
          </cell>
          <cell r="AJ3" t="str">
            <v>OTHER ADD</v>
          </cell>
          <cell r="AK3" t="str">
            <v>GROSS EARNINGS</v>
          </cell>
        </row>
        <row r="4">
          <cell r="AA4" t="str">
            <v>NAME</v>
          </cell>
          <cell r="AB4" t="str">
            <v>BASIC RATE</v>
          </cell>
          <cell r="AC4" t="str">
            <v>COLA</v>
          </cell>
          <cell r="AD4" t="str">
            <v>TRANS ALLW</v>
          </cell>
          <cell r="AE4" t="str">
            <v>RICE SUBSI</v>
          </cell>
          <cell r="AF4" t="str">
            <v>HOLIDAY PAY</v>
          </cell>
          <cell r="AG4" t="str">
            <v>NITE DIFF</v>
          </cell>
          <cell r="AH4" t="str">
            <v>OT PAY</v>
          </cell>
          <cell r="AI4" t="str">
            <v>ACTING ALLW</v>
          </cell>
          <cell r="AJ4" t="str">
            <v>OTHER ADD</v>
          </cell>
          <cell r="AK4" t="str">
            <v>GROSS EARNINGS</v>
          </cell>
        </row>
        <row r="5">
          <cell r="AA5" t="str">
            <v>Tuvalles, Jonathan Laurence</v>
          </cell>
          <cell r="AB5">
            <v>41369.31</v>
          </cell>
          <cell r="AC5">
            <v>0</v>
          </cell>
          <cell r="AD5">
            <v>0</v>
          </cell>
          <cell r="AE5">
            <v>0</v>
          </cell>
          <cell r="AF5">
            <v>1993.7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43363.01</v>
          </cell>
        </row>
        <row r="6">
          <cell r="AA6">
            <v>0</v>
          </cell>
          <cell r="AB6">
            <v>41369.31</v>
          </cell>
          <cell r="AC6">
            <v>0</v>
          </cell>
          <cell r="AD6">
            <v>0</v>
          </cell>
          <cell r="AE6">
            <v>0</v>
          </cell>
          <cell r="AF6">
            <v>1993.7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43363.01</v>
          </cell>
        </row>
        <row r="7">
          <cell r="AA7" t="str">
            <v>Selga, Rolando</v>
          </cell>
          <cell r="AB7">
            <v>18744</v>
          </cell>
          <cell r="AC7">
            <v>0</v>
          </cell>
          <cell r="AD7">
            <v>0</v>
          </cell>
          <cell r="AE7">
            <v>0</v>
          </cell>
          <cell r="AF7">
            <v>903.33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19647.330000000002</v>
          </cell>
        </row>
        <row r="8">
          <cell r="AA8">
            <v>0</v>
          </cell>
          <cell r="AB8">
            <v>18744</v>
          </cell>
          <cell r="AC8">
            <v>0</v>
          </cell>
          <cell r="AD8">
            <v>0</v>
          </cell>
          <cell r="AE8">
            <v>0</v>
          </cell>
          <cell r="AF8">
            <v>903.33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19647.330000000002</v>
          </cell>
        </row>
        <row r="9">
          <cell r="AA9" t="str">
            <v>Buenafe, Ive Hope</v>
          </cell>
          <cell r="AB9">
            <v>34849.01</v>
          </cell>
          <cell r="AC9">
            <v>0</v>
          </cell>
          <cell r="AD9">
            <v>0</v>
          </cell>
          <cell r="AE9">
            <v>0</v>
          </cell>
          <cell r="AF9">
            <v>1679.47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36528.480000000003</v>
          </cell>
        </row>
        <row r="10">
          <cell r="AA10" t="str">
            <v>Denila, Jane</v>
          </cell>
          <cell r="AB10">
            <v>31681.46</v>
          </cell>
          <cell r="AC10">
            <v>0</v>
          </cell>
          <cell r="AD10">
            <v>0</v>
          </cell>
          <cell r="AE10">
            <v>0</v>
          </cell>
          <cell r="AF10">
            <v>1526.82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33208.28</v>
          </cell>
        </row>
        <row r="11">
          <cell r="AA11">
            <v>0</v>
          </cell>
          <cell r="AB11">
            <v>66530.47</v>
          </cell>
          <cell r="AC11">
            <v>0</v>
          </cell>
          <cell r="AD11">
            <v>0</v>
          </cell>
          <cell r="AE11">
            <v>0</v>
          </cell>
          <cell r="AF11">
            <v>3206.29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69736.759999999995</v>
          </cell>
        </row>
        <row r="12">
          <cell r="AA12" t="str">
            <v>Total</v>
          </cell>
          <cell r="AB12">
            <v>126643.78</v>
          </cell>
          <cell r="AC12">
            <v>0</v>
          </cell>
          <cell r="AD12">
            <v>0</v>
          </cell>
          <cell r="AE12">
            <v>0</v>
          </cell>
          <cell r="AF12">
            <v>6103.31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132747.1</v>
          </cell>
        </row>
        <row r="13"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9.999999999308784E-3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A17" t="str">
            <v>NAME</v>
          </cell>
          <cell r="AB17" t="str">
            <v>BASIC RATE</v>
          </cell>
          <cell r="AC17" t="str">
            <v>COLA</v>
          </cell>
          <cell r="AD17" t="str">
            <v>TRANS ALLW</v>
          </cell>
          <cell r="AE17" t="str">
            <v>RICE SUBSI</v>
          </cell>
          <cell r="AF17" t="str">
            <v>HOLIDAY PAY</v>
          </cell>
          <cell r="AG17" t="str">
            <v>NITE DIFF</v>
          </cell>
          <cell r="AH17" t="str">
            <v>OT PAY</v>
          </cell>
          <cell r="AI17" t="str">
            <v>ACTING ALLW</v>
          </cell>
          <cell r="AJ17" t="str">
            <v>OTHER ADD</v>
          </cell>
          <cell r="AK17" t="str">
            <v>GROSS EARNINGS</v>
          </cell>
        </row>
        <row r="18">
          <cell r="AA18" t="str">
            <v>Gomez, Dina Patricia</v>
          </cell>
          <cell r="AB18">
            <v>6500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6500</v>
          </cell>
        </row>
        <row r="19">
          <cell r="AA19">
            <v>0</v>
          </cell>
          <cell r="AB19">
            <v>6500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6500</v>
          </cell>
        </row>
        <row r="20">
          <cell r="AA20" t="str">
            <v>Total</v>
          </cell>
          <cell r="AB20">
            <v>6500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6500</v>
          </cell>
        </row>
        <row r="21"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A25" t="str">
            <v>NAME</v>
          </cell>
          <cell r="AB25" t="str">
            <v>BASIC RATE</v>
          </cell>
          <cell r="AC25" t="str">
            <v>COLA</v>
          </cell>
          <cell r="AD25" t="str">
            <v>TRANS ALLW</v>
          </cell>
          <cell r="AE25" t="str">
            <v>RICE SUBSI</v>
          </cell>
          <cell r="AF25" t="str">
            <v>HOLIDAY PAY</v>
          </cell>
          <cell r="AG25" t="str">
            <v>NITE DIFF</v>
          </cell>
          <cell r="AH25" t="str">
            <v>OT PAY</v>
          </cell>
          <cell r="AI25" t="str">
            <v>ACTING ALLW</v>
          </cell>
          <cell r="AJ25" t="str">
            <v>OTHER ADD</v>
          </cell>
          <cell r="AK25" t="str">
            <v>GROSS EARNINGS</v>
          </cell>
        </row>
        <row r="26">
          <cell r="AA26" t="str">
            <v>Constantino, Alfredo Jr</v>
          </cell>
          <cell r="AB26">
            <v>4668.75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4668.75</v>
          </cell>
        </row>
        <row r="27">
          <cell r="AA27" t="str">
            <v>Solo, Egan</v>
          </cell>
          <cell r="AB27">
            <v>4668.75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4668.75</v>
          </cell>
        </row>
        <row r="28">
          <cell r="AA28">
            <v>0</v>
          </cell>
          <cell r="AB28">
            <v>9337.5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9337.5</v>
          </cell>
        </row>
        <row r="29">
          <cell r="AA29" t="str">
            <v>Total</v>
          </cell>
          <cell r="AB29">
            <v>9337.5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9337.5</v>
          </cell>
        </row>
        <row r="30"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A34" t="str">
            <v>NAME</v>
          </cell>
          <cell r="AB34" t="str">
            <v>BASIC RATE</v>
          </cell>
          <cell r="AC34" t="str">
            <v>COLA</v>
          </cell>
          <cell r="AD34" t="str">
            <v>TRANS ALLW</v>
          </cell>
          <cell r="AE34" t="str">
            <v>RICE SUBSI</v>
          </cell>
          <cell r="AF34" t="str">
            <v>HOLIDAY PAY</v>
          </cell>
          <cell r="AG34" t="str">
            <v>NITE DIFF</v>
          </cell>
          <cell r="AH34" t="str">
            <v>OT PAY</v>
          </cell>
          <cell r="AI34" t="str">
            <v>ACTING ALLW</v>
          </cell>
          <cell r="AJ34" t="str">
            <v>OTHER ADD</v>
          </cell>
          <cell r="AK34" t="str">
            <v>GROSS EARNINGS</v>
          </cell>
        </row>
        <row r="35">
          <cell r="AA35" t="str">
            <v>Llanora, Glicerio</v>
          </cell>
          <cell r="AB35">
            <v>8465.5</v>
          </cell>
          <cell r="AC35">
            <v>0</v>
          </cell>
          <cell r="AD35">
            <v>0</v>
          </cell>
          <cell r="AE35">
            <v>0</v>
          </cell>
          <cell r="AF35">
            <v>815.95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9281.4500000000007</v>
          </cell>
        </row>
        <row r="36">
          <cell r="AA36">
            <v>0</v>
          </cell>
          <cell r="AB36">
            <v>8465.5</v>
          </cell>
          <cell r="AC36">
            <v>0</v>
          </cell>
          <cell r="AD36">
            <v>0</v>
          </cell>
          <cell r="AE36">
            <v>0</v>
          </cell>
          <cell r="AF36">
            <v>815.95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9281.4500000000007</v>
          </cell>
        </row>
        <row r="37">
          <cell r="AA37" t="str">
            <v>Gomez, Dina Patricia</v>
          </cell>
          <cell r="AB37">
            <v>6500</v>
          </cell>
          <cell r="AC37">
            <v>0</v>
          </cell>
          <cell r="AD37">
            <v>0</v>
          </cell>
          <cell r="AE37">
            <v>0</v>
          </cell>
          <cell r="AF37">
            <v>626.51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7126.51</v>
          </cell>
        </row>
        <row r="38">
          <cell r="AA38">
            <v>0</v>
          </cell>
          <cell r="AB38">
            <v>6500</v>
          </cell>
          <cell r="AC38">
            <v>0</v>
          </cell>
          <cell r="AD38">
            <v>0</v>
          </cell>
          <cell r="AE38">
            <v>0</v>
          </cell>
          <cell r="AF38">
            <v>626.51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7126.51</v>
          </cell>
        </row>
        <row r="39">
          <cell r="AA39" t="str">
            <v>Total</v>
          </cell>
          <cell r="AB39">
            <v>14965.5</v>
          </cell>
          <cell r="AC39">
            <v>0</v>
          </cell>
          <cell r="AD39">
            <v>0</v>
          </cell>
          <cell r="AE39">
            <v>0</v>
          </cell>
          <cell r="AF39">
            <v>1442.46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16407.96</v>
          </cell>
        </row>
        <row r="40"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3"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</row>
        <row r="44">
          <cell r="AA44" t="str">
            <v>NAME</v>
          </cell>
          <cell r="AB44" t="str">
            <v>BASIC RATE</v>
          </cell>
          <cell r="AC44" t="str">
            <v>COLA</v>
          </cell>
          <cell r="AD44" t="str">
            <v>TRANS ALLW</v>
          </cell>
          <cell r="AE44" t="str">
            <v>RICE SUBSI</v>
          </cell>
          <cell r="AF44" t="str">
            <v>HOLIDAY PAY</v>
          </cell>
          <cell r="AG44" t="str">
            <v>NITE DIFF</v>
          </cell>
          <cell r="AH44" t="str">
            <v>OT PAY</v>
          </cell>
          <cell r="AI44" t="str">
            <v>ACTING ALLW</v>
          </cell>
          <cell r="AJ44" t="str">
            <v>OTHER ADD</v>
          </cell>
          <cell r="AK44" t="str">
            <v>GROSS EARNINGS</v>
          </cell>
        </row>
        <row r="45">
          <cell r="AA45" t="str">
            <v>Constantino, Alfredo Jr</v>
          </cell>
          <cell r="AB45">
            <v>4668.75</v>
          </cell>
          <cell r="AC45">
            <v>0</v>
          </cell>
          <cell r="AD45">
            <v>0</v>
          </cell>
          <cell r="AE45">
            <v>0</v>
          </cell>
          <cell r="AF45">
            <v>450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5118.75</v>
          </cell>
        </row>
        <row r="46">
          <cell r="AA46" t="str">
            <v>Solo, Egan</v>
          </cell>
          <cell r="AB46">
            <v>4668.75</v>
          </cell>
          <cell r="AC46">
            <v>0</v>
          </cell>
          <cell r="AD46">
            <v>0</v>
          </cell>
          <cell r="AE46">
            <v>0</v>
          </cell>
          <cell r="AF46">
            <v>450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5118.75</v>
          </cell>
        </row>
        <row r="47">
          <cell r="AA47">
            <v>0</v>
          </cell>
          <cell r="AB47">
            <v>9337.5</v>
          </cell>
          <cell r="AC47">
            <v>0</v>
          </cell>
          <cell r="AD47">
            <v>0</v>
          </cell>
          <cell r="AE47">
            <v>0</v>
          </cell>
          <cell r="AF47">
            <v>900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10237.5</v>
          </cell>
        </row>
        <row r="48">
          <cell r="AA48" t="str">
            <v>Total</v>
          </cell>
          <cell r="AB48">
            <v>9337.5</v>
          </cell>
          <cell r="AC48">
            <v>0</v>
          </cell>
          <cell r="AD48">
            <v>0</v>
          </cell>
          <cell r="AE48">
            <v>0</v>
          </cell>
          <cell r="AF48">
            <v>900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10237.5</v>
          </cell>
        </row>
        <row r="49"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</row>
        <row r="50"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</row>
        <row r="52">
          <cell r="AB52">
            <v>166784.28</v>
          </cell>
        </row>
        <row r="53">
          <cell r="AA53">
            <v>24</v>
          </cell>
          <cell r="AB53">
            <v>25</v>
          </cell>
          <cell r="AC53">
            <v>26</v>
          </cell>
          <cell r="AD53">
            <v>27</v>
          </cell>
          <cell r="AE53">
            <v>28</v>
          </cell>
          <cell r="AF53">
            <v>29</v>
          </cell>
          <cell r="AG53">
            <v>30</v>
          </cell>
          <cell r="AH53">
            <v>31</v>
          </cell>
          <cell r="AI53">
            <v>32</v>
          </cell>
          <cell r="AJ53">
            <v>33</v>
          </cell>
          <cell r="AK53">
            <v>34</v>
          </cell>
        </row>
        <row r="54">
          <cell r="AA54" t="str">
            <v>NAME</v>
          </cell>
          <cell r="AB54" t="str">
            <v>BASIC RATE</v>
          </cell>
          <cell r="AC54" t="str">
            <v>COLA</v>
          </cell>
          <cell r="AD54" t="str">
            <v>TRANS ALLW</v>
          </cell>
          <cell r="AE54" t="str">
            <v>RICE SUBSI</v>
          </cell>
          <cell r="AF54" t="str">
            <v>HOLIDAY PAY</v>
          </cell>
          <cell r="AG54" t="str">
            <v>NITE DIFF</v>
          </cell>
          <cell r="AH54" t="str">
            <v>OT PAY</v>
          </cell>
          <cell r="AI54" t="str">
            <v>ACTING ALLW</v>
          </cell>
          <cell r="AJ54" t="str">
            <v>OTHER ADD</v>
          </cell>
          <cell r="AK54" t="str">
            <v>GROSS EARNINGS</v>
          </cell>
        </row>
        <row r="55">
          <cell r="AA55" t="str">
            <v>Gomez, Dina Patricia</v>
          </cell>
          <cell r="AB55">
            <v>13000</v>
          </cell>
          <cell r="AC55">
            <v>0</v>
          </cell>
          <cell r="AD55">
            <v>0</v>
          </cell>
          <cell r="AE55">
            <v>0</v>
          </cell>
          <cell r="AF55">
            <v>626.51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13626.51</v>
          </cell>
        </row>
        <row r="56">
          <cell r="AA56" t="str">
            <v>Llanora, Glicerio</v>
          </cell>
          <cell r="AB56">
            <v>8465.5</v>
          </cell>
          <cell r="AC56">
            <v>0</v>
          </cell>
          <cell r="AD56">
            <v>0</v>
          </cell>
          <cell r="AE56">
            <v>0</v>
          </cell>
          <cell r="AF56">
            <v>815.95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9281.4500000000007</v>
          </cell>
        </row>
        <row r="57">
          <cell r="AA57" t="str">
            <v>Constantino, Alfredo Jr</v>
          </cell>
          <cell r="AB57">
            <v>9337.5</v>
          </cell>
          <cell r="AC57">
            <v>0</v>
          </cell>
          <cell r="AD57">
            <v>0</v>
          </cell>
          <cell r="AE57">
            <v>0</v>
          </cell>
          <cell r="AF57">
            <v>450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9787.5</v>
          </cell>
        </row>
        <row r="58">
          <cell r="AA58" t="str">
            <v>Solo, Egan</v>
          </cell>
          <cell r="AB58">
            <v>9337.5</v>
          </cell>
          <cell r="AC58">
            <v>0</v>
          </cell>
          <cell r="AD58">
            <v>0</v>
          </cell>
          <cell r="AE58">
            <v>0</v>
          </cell>
          <cell r="AF58">
            <v>450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9787.5</v>
          </cell>
        </row>
        <row r="59">
          <cell r="AA59" t="str">
            <v>Total</v>
          </cell>
          <cell r="AB59">
            <v>40140.5</v>
          </cell>
          <cell r="AC59">
            <v>0</v>
          </cell>
          <cell r="AD59">
            <v>0</v>
          </cell>
          <cell r="AE59">
            <v>0</v>
          </cell>
          <cell r="AF59">
            <v>2342.46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42482.96</v>
          </cell>
        </row>
        <row r="60"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</row>
      </sheetData>
      <sheetData sheetId="10"/>
      <sheetData sheetId="11">
        <row r="1"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  <row r="2">
          <cell r="AA2" t="str">
            <v>EARNINGS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AA3" t="str">
            <v>NAME</v>
          </cell>
          <cell r="AB3" t="str">
            <v>BASIC RATE</v>
          </cell>
          <cell r="AC3" t="str">
            <v>COLA</v>
          </cell>
          <cell r="AD3" t="str">
            <v>TRANS ALLW</v>
          </cell>
          <cell r="AE3" t="str">
            <v>RICE SUBSI</v>
          </cell>
          <cell r="AF3" t="str">
            <v>HOLIDAY PAY</v>
          </cell>
          <cell r="AG3" t="str">
            <v>NITE DIFF</v>
          </cell>
          <cell r="AH3" t="str">
            <v>OT PAY</v>
          </cell>
          <cell r="AI3" t="str">
            <v>ACTING ALLW</v>
          </cell>
          <cell r="AJ3" t="str">
            <v>OTHER ADD</v>
          </cell>
          <cell r="AK3" t="str">
            <v>GROSS EARNINGS</v>
          </cell>
        </row>
        <row r="4">
          <cell r="AA4" t="str">
            <v>NAME</v>
          </cell>
          <cell r="AB4" t="str">
            <v>BASIC RATE</v>
          </cell>
          <cell r="AC4" t="str">
            <v>COLA</v>
          </cell>
          <cell r="AD4" t="str">
            <v>TRANS ALLW</v>
          </cell>
          <cell r="AE4" t="str">
            <v>RICE SUBSI</v>
          </cell>
          <cell r="AF4" t="str">
            <v>HOLIDAY PAY</v>
          </cell>
          <cell r="AG4" t="str">
            <v>NITE DIFF</v>
          </cell>
          <cell r="AH4" t="str">
            <v>OT PAY</v>
          </cell>
          <cell r="AI4" t="str">
            <v>ACTING ALLW</v>
          </cell>
          <cell r="AJ4" t="str">
            <v>OTHER ADD</v>
          </cell>
          <cell r="AK4" t="str">
            <v>GROSS EARNINGS</v>
          </cell>
        </row>
        <row r="5">
          <cell r="AA5" t="str">
            <v>Tuvalles, Jonathan Laurence</v>
          </cell>
          <cell r="AB5">
            <v>41369.31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41369.31</v>
          </cell>
        </row>
        <row r="6">
          <cell r="AA6">
            <v>0</v>
          </cell>
          <cell r="AB6">
            <v>41369.31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41369.31</v>
          </cell>
        </row>
        <row r="7">
          <cell r="AA7" t="str">
            <v>Cabanal, Karlo Ian</v>
          </cell>
          <cell r="AB7">
            <v>28693.599999999999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28693.599999999999</v>
          </cell>
        </row>
        <row r="8">
          <cell r="AA8">
            <v>0</v>
          </cell>
          <cell r="AB8">
            <v>28693.599999999999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28693.599999999999</v>
          </cell>
        </row>
        <row r="9">
          <cell r="AA9" t="str">
            <v>Agris, Jr., Jerome</v>
          </cell>
          <cell r="AB9">
            <v>31687.57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31687.57</v>
          </cell>
        </row>
        <row r="10">
          <cell r="AA10">
            <v>0</v>
          </cell>
          <cell r="AB10">
            <v>31687.57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31687.57</v>
          </cell>
        </row>
        <row r="11">
          <cell r="AA11" t="str">
            <v>Selga, Rolando</v>
          </cell>
          <cell r="AB11">
            <v>15744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15744</v>
          </cell>
        </row>
        <row r="12">
          <cell r="AA12" t="str">
            <v>Tadifa, John</v>
          </cell>
          <cell r="AB12">
            <v>32384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32384</v>
          </cell>
        </row>
        <row r="13">
          <cell r="AA13">
            <v>0</v>
          </cell>
          <cell r="AB13">
            <v>48128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48128</v>
          </cell>
        </row>
        <row r="14">
          <cell r="AA14" t="str">
            <v>Almodiente, April Rose</v>
          </cell>
          <cell r="AB14">
            <v>32000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32000</v>
          </cell>
        </row>
        <row r="15">
          <cell r="AA15">
            <v>0</v>
          </cell>
          <cell r="AB15">
            <v>32000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32000</v>
          </cell>
        </row>
        <row r="16">
          <cell r="AA16" t="str">
            <v>Buenafe, Ive Hope</v>
          </cell>
          <cell r="AB16">
            <v>34849.01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34849.01</v>
          </cell>
        </row>
        <row r="17">
          <cell r="AA17" t="str">
            <v>Denila, Jane</v>
          </cell>
          <cell r="AB17">
            <v>31681.46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31681.46</v>
          </cell>
        </row>
        <row r="18">
          <cell r="AA18">
            <v>0</v>
          </cell>
          <cell r="AB18">
            <v>66530.47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66530.47</v>
          </cell>
        </row>
        <row r="19">
          <cell r="AA19" t="str">
            <v>Total</v>
          </cell>
          <cell r="AB19">
            <v>248408.95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248408.95</v>
          </cell>
        </row>
        <row r="20"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A25" t="str">
            <v>NAME</v>
          </cell>
          <cell r="AB25" t="str">
            <v>BASIC RATE</v>
          </cell>
          <cell r="AC25" t="str">
            <v>COLA</v>
          </cell>
          <cell r="AD25" t="str">
            <v>TRANS ALLW</v>
          </cell>
          <cell r="AE25" t="str">
            <v>RICE SUBSI</v>
          </cell>
          <cell r="AF25" t="str">
            <v>HOLIDAY PAY</v>
          </cell>
          <cell r="AG25" t="str">
            <v>NITE DIFF</v>
          </cell>
          <cell r="AH25" t="str">
            <v>OT PAY</v>
          </cell>
          <cell r="AI25" t="str">
            <v>ACTING ALLW</v>
          </cell>
          <cell r="AJ25" t="str">
            <v>OTHER ADD</v>
          </cell>
          <cell r="AK25" t="str">
            <v>GROSS EARNINGS</v>
          </cell>
        </row>
        <row r="26">
          <cell r="AA26" t="str">
            <v>Llanora, Glicerio</v>
          </cell>
          <cell r="AB26">
            <v>8465.5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8465.5</v>
          </cell>
        </row>
        <row r="27">
          <cell r="AA27">
            <v>0</v>
          </cell>
          <cell r="AB27">
            <v>8465.5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8465.5</v>
          </cell>
        </row>
        <row r="28">
          <cell r="AA28" t="str">
            <v>Gomez, Dina Patricia</v>
          </cell>
          <cell r="AB28">
            <v>6500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6500</v>
          </cell>
        </row>
        <row r="29">
          <cell r="AA29">
            <v>0</v>
          </cell>
          <cell r="AB29">
            <v>6500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6500</v>
          </cell>
        </row>
        <row r="30">
          <cell r="AA30" t="str">
            <v>Total</v>
          </cell>
          <cell r="AB30">
            <v>14965.5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14965.5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A35" t="str">
            <v>NAME</v>
          </cell>
          <cell r="AB35" t="str">
            <v>BASIC RATE</v>
          </cell>
          <cell r="AC35" t="str">
            <v>COLA</v>
          </cell>
          <cell r="AD35" t="str">
            <v>TRANS ALLW</v>
          </cell>
          <cell r="AE35" t="str">
            <v>RICE SUBSI</v>
          </cell>
          <cell r="AF35" t="str">
            <v>HOLIDAY PAY</v>
          </cell>
          <cell r="AG35" t="str">
            <v>NITE DIFF</v>
          </cell>
          <cell r="AH35" t="str">
            <v>OT PAY</v>
          </cell>
          <cell r="AI35" t="str">
            <v>ACTING ALLW</v>
          </cell>
          <cell r="AJ35" t="str">
            <v>OTHER ADD</v>
          </cell>
          <cell r="AK35" t="str">
            <v>GROSS EARNINGS</v>
          </cell>
        </row>
        <row r="36">
          <cell r="AA36" t="str">
            <v>Constantino, Alfredo Jr</v>
          </cell>
          <cell r="AB36">
            <v>4668.75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4668.75</v>
          </cell>
        </row>
        <row r="37">
          <cell r="AA37" t="str">
            <v>Solo, Egan</v>
          </cell>
          <cell r="AB37">
            <v>4668.75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4668.75</v>
          </cell>
        </row>
        <row r="38">
          <cell r="AA38">
            <v>0</v>
          </cell>
          <cell r="AB38">
            <v>9337.5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9337.5</v>
          </cell>
        </row>
        <row r="39">
          <cell r="AA39" t="str">
            <v>Total</v>
          </cell>
          <cell r="AB39">
            <v>9337.5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9337.5</v>
          </cell>
        </row>
        <row r="40"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3"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</row>
        <row r="44">
          <cell r="AA44" t="str">
            <v>NAME</v>
          </cell>
          <cell r="AB44" t="str">
            <v>BASIC RATE</v>
          </cell>
          <cell r="AC44" t="str">
            <v>COLA</v>
          </cell>
          <cell r="AD44" t="str">
            <v>TRANS ALLW</v>
          </cell>
          <cell r="AE44" t="str">
            <v>RICE SUBSI</v>
          </cell>
          <cell r="AF44" t="str">
            <v>HOLIDAY PAY</v>
          </cell>
          <cell r="AG44" t="str">
            <v>NITE DIFF</v>
          </cell>
          <cell r="AH44" t="str">
            <v>OT PAY</v>
          </cell>
          <cell r="AI44" t="str">
            <v>ACTING ALLW</v>
          </cell>
          <cell r="AJ44" t="str">
            <v>OTHER ADD</v>
          </cell>
          <cell r="AK44" t="str">
            <v>GROSS EARNINGS</v>
          </cell>
        </row>
        <row r="45">
          <cell r="AA45" t="str">
            <v>Llanora, Glicerio</v>
          </cell>
          <cell r="AB45">
            <v>8465.5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8465.5</v>
          </cell>
        </row>
        <row r="46">
          <cell r="AA46">
            <v>0</v>
          </cell>
          <cell r="AB46">
            <v>8465.5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8465.5</v>
          </cell>
        </row>
        <row r="47">
          <cell r="AA47" t="str">
            <v>Gomez, Dina Patricia</v>
          </cell>
          <cell r="AB47">
            <v>6500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6500</v>
          </cell>
        </row>
        <row r="48">
          <cell r="AA48">
            <v>0</v>
          </cell>
          <cell r="AB48">
            <v>6500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6500</v>
          </cell>
        </row>
        <row r="49">
          <cell r="AA49" t="str">
            <v>Total</v>
          </cell>
          <cell r="AB49">
            <v>14965.5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14965.5</v>
          </cell>
        </row>
        <row r="50"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</row>
        <row r="52"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AA54" t="str">
            <v>NAME</v>
          </cell>
          <cell r="AB54" t="str">
            <v>BASIC RATE</v>
          </cell>
          <cell r="AC54" t="str">
            <v>COLA</v>
          </cell>
          <cell r="AD54" t="str">
            <v>TRANS ALLW</v>
          </cell>
          <cell r="AE54" t="str">
            <v>RICE SUBSI</v>
          </cell>
          <cell r="AF54" t="str">
            <v>HOLIDAY PAY</v>
          </cell>
          <cell r="AG54" t="str">
            <v>NITE DIFF</v>
          </cell>
          <cell r="AH54" t="str">
            <v>OT PAY</v>
          </cell>
          <cell r="AI54" t="str">
            <v>ACTING ALLW</v>
          </cell>
          <cell r="AJ54" t="str">
            <v>OTHER ADD</v>
          </cell>
          <cell r="AK54" t="str">
            <v>GROSS EARNINGS</v>
          </cell>
        </row>
        <row r="55">
          <cell r="AA55" t="str">
            <v>Constantino, Alfredo Jr</v>
          </cell>
          <cell r="AB55">
            <v>4668.75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4668.75</v>
          </cell>
        </row>
        <row r="56">
          <cell r="AA56" t="str">
            <v>Solo, Egan</v>
          </cell>
          <cell r="AB56">
            <v>4668.75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4668.75</v>
          </cell>
        </row>
        <row r="57">
          <cell r="AA57">
            <v>0</v>
          </cell>
          <cell r="AB57">
            <v>9337.5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9337.5</v>
          </cell>
        </row>
        <row r="58">
          <cell r="AA58" t="str">
            <v>Total</v>
          </cell>
          <cell r="AB58">
            <v>9337.5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9337.5</v>
          </cell>
        </row>
        <row r="59"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AB62">
            <v>297014.95</v>
          </cell>
        </row>
        <row r="63">
          <cell r="AA63" t="str">
            <v>NAME</v>
          </cell>
          <cell r="AB63" t="str">
            <v>BASIC RATE</v>
          </cell>
          <cell r="AC63" t="str">
            <v>COLA</v>
          </cell>
          <cell r="AD63" t="str">
            <v>TRANS ALLW</v>
          </cell>
          <cell r="AE63" t="str">
            <v>RICE SUBSI</v>
          </cell>
          <cell r="AF63" t="str">
            <v>HOLIDAY PAY</v>
          </cell>
          <cell r="AG63" t="str">
            <v>NITE DIFF</v>
          </cell>
          <cell r="AH63" t="str">
            <v>OT PAY</v>
          </cell>
          <cell r="AI63" t="str">
            <v>ACTING ALLW</v>
          </cell>
          <cell r="AJ63" t="str">
            <v>OTHER ADD</v>
          </cell>
          <cell r="AK63" t="str">
            <v>GROSS EARNINGS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LATE AB"/>
      <sheetName val="JAN"/>
      <sheetName val="FEB"/>
      <sheetName val="MAR"/>
      <sheetName val="APR"/>
      <sheetName val="MAY"/>
      <sheetName val="JUNE"/>
      <sheetName val="JULY"/>
      <sheetName val="AUG"/>
      <sheetName val="deductions_SSS"/>
      <sheetName val="deductions_pag ibig"/>
      <sheetName val="other ded_HMO"/>
      <sheetName val="2023 SSS"/>
      <sheetName val="2022 SSSrates"/>
      <sheetName val="TAX"/>
      <sheetName val="TAX 2022- 2023"/>
    </sheetNames>
    <sheetDataSet>
      <sheetData sheetId="0" refreshError="1"/>
      <sheetData sheetId="1" refreshError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</row>
        <row r="2">
          <cell r="B2">
            <v>0</v>
          </cell>
          <cell r="C2">
            <v>0</v>
          </cell>
          <cell r="D2">
            <v>0</v>
          </cell>
          <cell r="E2" t="str">
            <v>LATE IN MINUTES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ABSENCES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 t="str">
            <v>JAN</v>
          </cell>
          <cell r="F3" t="str">
            <v>FEB</v>
          </cell>
          <cell r="G3" t="str">
            <v>MAR</v>
          </cell>
          <cell r="H3" t="str">
            <v>APR</v>
          </cell>
          <cell r="I3" t="str">
            <v>MAY</v>
          </cell>
          <cell r="J3" t="str">
            <v>JUN</v>
          </cell>
          <cell r="K3" t="str">
            <v>JUL</v>
          </cell>
          <cell r="L3" t="str">
            <v>AUG</v>
          </cell>
          <cell r="M3" t="str">
            <v>SEP</v>
          </cell>
          <cell r="N3" t="str">
            <v>OCT</v>
          </cell>
          <cell r="O3" t="str">
            <v>NOV</v>
          </cell>
          <cell r="P3" t="str">
            <v>DEC</v>
          </cell>
          <cell r="Q3">
            <v>0</v>
          </cell>
          <cell r="R3" t="str">
            <v>TOTAL</v>
          </cell>
          <cell r="S3">
            <v>0</v>
          </cell>
          <cell r="T3" t="str">
            <v>JAN</v>
          </cell>
          <cell r="U3" t="str">
            <v>FEB</v>
          </cell>
          <cell r="V3" t="str">
            <v>MAR</v>
          </cell>
          <cell r="W3" t="str">
            <v>APR</v>
          </cell>
          <cell r="X3" t="str">
            <v>MAY</v>
          </cell>
          <cell r="Y3" t="str">
            <v>JUN</v>
          </cell>
          <cell r="Z3" t="str">
            <v>JUL</v>
          </cell>
          <cell r="AA3" t="str">
            <v>AUG</v>
          </cell>
          <cell r="AB3" t="str">
            <v>SEP</v>
          </cell>
          <cell r="AC3" t="str">
            <v>OCT</v>
          </cell>
          <cell r="AD3" t="str">
            <v>NOV</v>
          </cell>
          <cell r="AE3" t="str">
            <v>DEC</v>
          </cell>
          <cell r="AF3">
            <v>0</v>
          </cell>
          <cell r="AG3" t="str">
            <v>TOTAL</v>
          </cell>
        </row>
        <row r="4">
          <cell r="B4" t="str">
            <v>Tajo, Glady May</v>
          </cell>
          <cell r="F4">
            <v>90</v>
          </cell>
          <cell r="G4">
            <v>252</v>
          </cell>
          <cell r="H4">
            <v>34</v>
          </cell>
          <cell r="I4">
            <v>285</v>
          </cell>
          <cell r="J4">
            <v>9</v>
          </cell>
          <cell r="K4">
            <v>141</v>
          </cell>
          <cell r="Q4">
            <v>0</v>
          </cell>
          <cell r="R4">
            <v>811</v>
          </cell>
          <cell r="S4">
            <v>0</v>
          </cell>
          <cell r="Z4">
            <v>0.5</v>
          </cell>
          <cell r="AF4">
            <v>0</v>
          </cell>
          <cell r="AG4">
            <v>0.5</v>
          </cell>
        </row>
        <row r="5">
          <cell r="B5" t="str">
            <v>Rivera, Christine Margaret</v>
          </cell>
          <cell r="F5">
            <v>27</v>
          </cell>
          <cell r="Q5">
            <v>0</v>
          </cell>
          <cell r="R5">
            <v>27</v>
          </cell>
          <cell r="S5">
            <v>0</v>
          </cell>
          <cell r="T5">
            <v>1.5</v>
          </cell>
          <cell r="U5">
            <v>1.5</v>
          </cell>
          <cell r="AF5">
            <v>0</v>
          </cell>
          <cell r="AG5">
            <v>3</v>
          </cell>
        </row>
        <row r="6">
          <cell r="B6" t="str">
            <v>Bautista, Mildred</v>
          </cell>
          <cell r="K6">
            <v>0</v>
          </cell>
          <cell r="L6">
            <v>0</v>
          </cell>
          <cell r="M6">
            <v>0</v>
          </cell>
          <cell r="Q6">
            <v>0</v>
          </cell>
          <cell r="R6">
            <v>0</v>
          </cell>
          <cell r="S6">
            <v>0</v>
          </cell>
          <cell r="Z6">
            <v>0</v>
          </cell>
          <cell r="AA6">
            <v>0</v>
          </cell>
          <cell r="AB6">
            <v>0</v>
          </cell>
          <cell r="AF6">
            <v>0</v>
          </cell>
          <cell r="AG6">
            <v>0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</row>
        <row r="9"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</row>
        <row r="10">
          <cell r="E10">
            <v>0</v>
          </cell>
          <cell r="F10">
            <v>117</v>
          </cell>
          <cell r="G10">
            <v>252</v>
          </cell>
          <cell r="H10">
            <v>34</v>
          </cell>
          <cell r="I10">
            <v>285</v>
          </cell>
          <cell r="J10">
            <v>9</v>
          </cell>
          <cell r="K10">
            <v>141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838</v>
          </cell>
          <cell r="S10">
            <v>0</v>
          </cell>
          <cell r="T10">
            <v>1.5</v>
          </cell>
          <cell r="U10">
            <v>1.5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0.5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3.5</v>
          </cell>
        </row>
      </sheetData>
      <sheetData sheetId="2" refreshError="1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  <cell r="AC1">
            <v>26</v>
          </cell>
          <cell r="AD1">
            <v>27</v>
          </cell>
          <cell r="AE1">
            <v>28</v>
          </cell>
          <cell r="AF1">
            <v>29</v>
          </cell>
          <cell r="AG1">
            <v>30</v>
          </cell>
          <cell r="AH1">
            <v>31</v>
          </cell>
          <cell r="AI1">
            <v>32</v>
          </cell>
          <cell r="AJ1">
            <v>33</v>
          </cell>
          <cell r="AK1">
            <v>34</v>
          </cell>
          <cell r="AL1">
            <v>35</v>
          </cell>
          <cell r="AM1">
            <v>36</v>
          </cell>
          <cell r="AN1">
            <v>37</v>
          </cell>
          <cell r="AO1">
            <v>38</v>
          </cell>
          <cell r="AP1">
            <v>39</v>
          </cell>
          <cell r="AQ1">
            <v>40</v>
          </cell>
          <cell r="AR1">
            <v>41</v>
          </cell>
          <cell r="AS1">
            <v>42</v>
          </cell>
          <cell r="AT1">
            <v>43</v>
          </cell>
          <cell r="AU1">
            <v>44</v>
          </cell>
          <cell r="AV1">
            <v>45</v>
          </cell>
          <cell r="AW1">
            <v>46</v>
          </cell>
          <cell r="AX1">
            <v>47</v>
          </cell>
          <cell r="AY1">
            <v>48</v>
          </cell>
          <cell r="AZ1">
            <v>49</v>
          </cell>
          <cell r="BA1">
            <v>50</v>
          </cell>
          <cell r="BB1">
            <v>51</v>
          </cell>
          <cell r="BC1">
            <v>52</v>
          </cell>
          <cell r="BD1">
            <v>53</v>
          </cell>
        </row>
        <row r="2">
          <cell r="D2">
            <v>0</v>
          </cell>
          <cell r="E2">
            <v>0</v>
          </cell>
          <cell r="F2">
            <v>0</v>
          </cell>
          <cell r="G2" t="str">
            <v>PAYROLL REGISTER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 t="str">
            <v>EARNINGS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 t="str">
            <v>DEDUCTIONS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</row>
        <row r="3">
          <cell r="D3" t="str">
            <v>NAME</v>
          </cell>
          <cell r="E3" t="str">
            <v>LAST NAME</v>
          </cell>
          <cell r="F3" t="str">
            <v>FIRST NAME</v>
          </cell>
          <cell r="G3" t="str">
            <v>GROSS EARNINGS</v>
          </cell>
          <cell r="H3" t="str">
            <v>TOTAL DEDN</v>
          </cell>
          <cell r="I3" t="str">
            <v>TOTAL NET</v>
          </cell>
          <cell r="J3" t="str">
            <v>SSS CONT</v>
          </cell>
          <cell r="K3" t="str">
            <v>SSS LOAN</v>
          </cell>
          <cell r="L3" t="str">
            <v>HDMF CONT</v>
          </cell>
          <cell r="M3" t="str">
            <v>HDMF LOAN</v>
          </cell>
          <cell r="N3" t="str">
            <v>PECEWA LOAN</v>
          </cell>
          <cell r="O3" t="str">
            <v>COOP LOAN</v>
          </cell>
          <cell r="P3" t="str">
            <v>PAGIBIG ADD</v>
          </cell>
          <cell r="Q3" t="str">
            <v>OTHER DEDUCTIONS</v>
          </cell>
          <cell r="R3" t="str">
            <v>HMO DEDN</v>
          </cell>
          <cell r="S3" t="str">
            <v>DED A</v>
          </cell>
          <cell r="T3" t="str">
            <v>ELECTRIC BILL</v>
          </cell>
          <cell r="U3" t="str">
            <v>MEM INS</v>
          </cell>
          <cell r="V3" t="str">
            <v>LWOP</v>
          </cell>
          <cell r="W3" t="str">
            <v>BASE TAX</v>
          </cell>
          <cell r="AA3" t="str">
            <v>NAME</v>
          </cell>
          <cell r="AB3" t="str">
            <v>BASIC RATE</v>
          </cell>
          <cell r="AC3" t="str">
            <v>COLA</v>
          </cell>
          <cell r="AD3" t="str">
            <v>TRANS ALLW</v>
          </cell>
          <cell r="AE3" t="str">
            <v>RICE SUBSI</v>
          </cell>
          <cell r="AF3" t="str">
            <v>HOLIDAY PAY</v>
          </cell>
          <cell r="AG3" t="str">
            <v>NITE DIFF</v>
          </cell>
          <cell r="AH3" t="str">
            <v>OT PAY</v>
          </cell>
          <cell r="AI3" t="str">
            <v>ACTING ALLW</v>
          </cell>
          <cell r="AJ3" t="str">
            <v>OTHER ADD</v>
          </cell>
          <cell r="AK3" t="str">
            <v>GROSS EARNINGS</v>
          </cell>
          <cell r="AM3">
            <v>0</v>
          </cell>
          <cell r="AO3" t="str">
            <v>NAME</v>
          </cell>
          <cell r="AP3" t="str">
            <v>SSS CONT</v>
          </cell>
          <cell r="AQ3" t="str">
            <v>SSS LOAN</v>
          </cell>
          <cell r="AR3" t="str">
            <v>HDMF CONT</v>
          </cell>
          <cell r="AS3" t="str">
            <v>HDMF LOAN</v>
          </cell>
          <cell r="AT3" t="str">
            <v>PECEWA LOAN</v>
          </cell>
          <cell r="AU3" t="str">
            <v>COOP LOAN</v>
          </cell>
          <cell r="AV3" t="str">
            <v>PAGIBIG AD</v>
          </cell>
          <cell r="AW3" t="str">
            <v>OTHER DEDN</v>
          </cell>
          <cell r="AX3" t="str">
            <v>HMO DEDN</v>
          </cell>
          <cell r="AY3" t="str">
            <v>DED A</v>
          </cell>
          <cell r="AZ3" t="str">
            <v>ELECT BILL</v>
          </cell>
          <cell r="BA3" t="str">
            <v>MEM INS</v>
          </cell>
          <cell r="BB3" t="str">
            <v>LWOP</v>
          </cell>
          <cell r="BC3" t="str">
            <v>BASE TAX</v>
          </cell>
          <cell r="BD3" t="str">
            <v>TOTAL DEDN</v>
          </cell>
        </row>
        <row r="4">
          <cell r="AA4" t="str">
            <v>NAME</v>
          </cell>
          <cell r="AB4" t="str">
            <v>BASIC RATE</v>
          </cell>
          <cell r="AC4" t="str">
            <v>COLA</v>
          </cell>
          <cell r="AD4" t="str">
            <v>TRANS ALLW</v>
          </cell>
          <cell r="AE4" t="str">
            <v>RICE SUBSI</v>
          </cell>
          <cell r="AF4" t="str">
            <v>HOLIDAY PAY</v>
          </cell>
          <cell r="AG4" t="str">
            <v>NITE DIFF</v>
          </cell>
          <cell r="AH4" t="str">
            <v>OT PAY</v>
          </cell>
          <cell r="AI4" t="str">
            <v>ACTING ALLW</v>
          </cell>
          <cell r="AJ4" t="str">
            <v>OTHER ADD</v>
          </cell>
          <cell r="AK4" t="str">
            <v>GROSS EARNINGS</v>
          </cell>
          <cell r="AM4">
            <v>0</v>
          </cell>
          <cell r="AO4" t="str">
            <v>NAME</v>
          </cell>
          <cell r="AP4" t="str">
            <v>SSS CONT</v>
          </cell>
          <cell r="AQ4" t="str">
            <v>SSS LOAN</v>
          </cell>
          <cell r="AR4" t="str">
            <v>HDMF CONT</v>
          </cell>
          <cell r="AS4" t="str">
            <v>HDMF LOAN</v>
          </cell>
          <cell r="AT4" t="str">
            <v>PECEWA LOAN</v>
          </cell>
          <cell r="AU4" t="str">
            <v>COOP LOAN</v>
          </cell>
          <cell r="AV4" t="str">
            <v>PAGIBIG AD</v>
          </cell>
          <cell r="AW4" t="str">
            <v>OTHER DEDN</v>
          </cell>
          <cell r="AX4" t="str">
            <v>HMO DEDN</v>
          </cell>
          <cell r="AY4" t="str">
            <v>DED A</v>
          </cell>
          <cell r="AZ4" t="str">
            <v>ELECT BILL</v>
          </cell>
          <cell r="BA4" t="str">
            <v>MEM INS</v>
          </cell>
          <cell r="BB4" t="str">
            <v>LWOP</v>
          </cell>
          <cell r="BC4" t="str">
            <v>BASE TAX</v>
          </cell>
          <cell r="BD4" t="str">
            <v>TOTAL DEDN</v>
          </cell>
        </row>
        <row r="5">
          <cell r="D5" t="str">
            <v>Tajo, Glady May</v>
          </cell>
          <cell r="E5" t="str">
            <v xml:space="preserve">Tajo </v>
          </cell>
          <cell r="F5" t="str">
            <v>Glady May</v>
          </cell>
          <cell r="G5">
            <v>25156.63</v>
          </cell>
          <cell r="H5">
            <v>2044.73</v>
          </cell>
          <cell r="I5">
            <v>23111.9</v>
          </cell>
          <cell r="J5">
            <v>1080</v>
          </cell>
          <cell r="K5">
            <v>0</v>
          </cell>
          <cell r="L5">
            <v>100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864.73</v>
          </cell>
          <cell r="X5">
            <v>0</v>
          </cell>
          <cell r="Y5">
            <v>44927</v>
          </cell>
          <cell r="Z5" t="str">
            <v>ok</v>
          </cell>
          <cell r="AA5" t="str">
            <v>Tajo, Glady May</v>
          </cell>
          <cell r="AB5">
            <v>24000</v>
          </cell>
          <cell r="AC5">
            <v>0</v>
          </cell>
          <cell r="AD5">
            <v>0</v>
          </cell>
          <cell r="AE5">
            <v>0</v>
          </cell>
          <cell r="AF5">
            <v>1156.6300000000001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25156.63</v>
          </cell>
          <cell r="AL5">
            <v>0</v>
          </cell>
          <cell r="AM5">
            <v>44927</v>
          </cell>
          <cell r="AN5" t="str">
            <v>ok</v>
          </cell>
          <cell r="AO5" t="str">
            <v>Tajo, Glady May</v>
          </cell>
          <cell r="AP5">
            <v>1080</v>
          </cell>
          <cell r="AQ5">
            <v>0</v>
          </cell>
          <cell r="AR5">
            <v>100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864.73</v>
          </cell>
          <cell r="BD5">
            <v>2044.73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25156.63</v>
          </cell>
          <cell r="H6">
            <v>2044.73</v>
          </cell>
          <cell r="I6">
            <v>23111.9</v>
          </cell>
          <cell r="J6">
            <v>1080</v>
          </cell>
          <cell r="K6">
            <v>0</v>
          </cell>
          <cell r="L6">
            <v>100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864.73</v>
          </cell>
          <cell r="X6">
            <v>0</v>
          </cell>
          <cell r="Y6">
            <v>44927</v>
          </cell>
          <cell r="Z6" t="str">
            <v>ok</v>
          </cell>
          <cell r="AA6">
            <v>0</v>
          </cell>
          <cell r="AB6">
            <v>24000</v>
          </cell>
          <cell r="AC6">
            <v>0</v>
          </cell>
          <cell r="AD6">
            <v>0</v>
          </cell>
          <cell r="AE6">
            <v>0</v>
          </cell>
          <cell r="AF6">
            <v>1156.6300000000001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25156.63</v>
          </cell>
          <cell r="AL6">
            <v>0</v>
          </cell>
          <cell r="AM6">
            <v>44927</v>
          </cell>
          <cell r="AN6" t="str">
            <v>ok</v>
          </cell>
          <cell r="AO6">
            <v>0</v>
          </cell>
          <cell r="AP6">
            <v>1080</v>
          </cell>
          <cell r="AQ6">
            <v>0</v>
          </cell>
          <cell r="AR6">
            <v>100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864.73</v>
          </cell>
          <cell r="BD6">
            <v>2044.73</v>
          </cell>
        </row>
        <row r="7">
          <cell r="D7" t="str">
            <v>Rivera, Christine Margaret</v>
          </cell>
          <cell r="E7" t="str">
            <v>Riveriza</v>
          </cell>
          <cell r="F7" t="str">
            <v>Christine Margaret</v>
          </cell>
          <cell r="G7">
            <v>22012.05</v>
          </cell>
          <cell r="H7">
            <v>2798.8799999999997</v>
          </cell>
          <cell r="I7">
            <v>19213.169999999998</v>
          </cell>
          <cell r="J7">
            <v>945</v>
          </cell>
          <cell r="K7">
            <v>0</v>
          </cell>
          <cell r="L7">
            <v>100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1518.07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235.81</v>
          </cell>
          <cell r="X7">
            <v>0</v>
          </cell>
          <cell r="Y7">
            <v>44927</v>
          </cell>
          <cell r="Z7" t="str">
            <v>ok</v>
          </cell>
          <cell r="AA7" t="str">
            <v>Rivera, Christine Margaret</v>
          </cell>
          <cell r="AB7">
            <v>21000</v>
          </cell>
          <cell r="AC7">
            <v>0</v>
          </cell>
          <cell r="AD7">
            <v>0</v>
          </cell>
          <cell r="AE7">
            <v>0</v>
          </cell>
          <cell r="AF7">
            <v>1012.05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22012.05</v>
          </cell>
          <cell r="AL7">
            <v>0</v>
          </cell>
          <cell r="AM7">
            <v>44927</v>
          </cell>
          <cell r="AN7" t="str">
            <v>ok</v>
          </cell>
          <cell r="AO7" t="str">
            <v>Rivera, Christine Margaret</v>
          </cell>
          <cell r="AP7">
            <v>945</v>
          </cell>
          <cell r="AQ7">
            <v>0</v>
          </cell>
          <cell r="AR7">
            <v>100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1518.07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235.81</v>
          </cell>
          <cell r="BD7">
            <v>2798.88</v>
          </cell>
        </row>
        <row r="8">
          <cell r="D8">
            <v>0</v>
          </cell>
          <cell r="E8">
            <v>0</v>
          </cell>
          <cell r="F8">
            <v>0</v>
          </cell>
          <cell r="G8">
            <v>22012.05</v>
          </cell>
          <cell r="H8">
            <v>2798.8799999999997</v>
          </cell>
          <cell r="I8">
            <v>19213.169999999998</v>
          </cell>
          <cell r="J8">
            <v>945</v>
          </cell>
          <cell r="K8">
            <v>0</v>
          </cell>
          <cell r="L8">
            <v>100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1518.07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235.81</v>
          </cell>
          <cell r="X8">
            <v>0</v>
          </cell>
          <cell r="Y8">
            <v>44927</v>
          </cell>
          <cell r="Z8" t="str">
            <v>ok</v>
          </cell>
          <cell r="AA8">
            <v>0</v>
          </cell>
          <cell r="AB8">
            <v>21000</v>
          </cell>
          <cell r="AC8">
            <v>0</v>
          </cell>
          <cell r="AD8">
            <v>0</v>
          </cell>
          <cell r="AE8">
            <v>0</v>
          </cell>
          <cell r="AF8">
            <v>1012.05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22012.05</v>
          </cell>
          <cell r="AL8">
            <v>0</v>
          </cell>
          <cell r="AM8">
            <v>44927</v>
          </cell>
          <cell r="AN8" t="str">
            <v>ok</v>
          </cell>
          <cell r="AO8">
            <v>0</v>
          </cell>
          <cell r="AP8">
            <v>945</v>
          </cell>
          <cell r="AQ8">
            <v>0</v>
          </cell>
          <cell r="AR8">
            <v>100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1518.07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235.81</v>
          </cell>
          <cell r="BD8">
            <v>2798.88</v>
          </cell>
        </row>
        <row r="9">
          <cell r="D9" t="str">
            <v>Total</v>
          </cell>
          <cell r="E9">
            <v>0</v>
          </cell>
          <cell r="F9">
            <v>0</v>
          </cell>
          <cell r="G9">
            <v>47168.68</v>
          </cell>
          <cell r="H9">
            <v>4843.6099999999997</v>
          </cell>
          <cell r="I9">
            <v>42325.07</v>
          </cell>
          <cell r="J9">
            <v>2025</v>
          </cell>
          <cell r="K9">
            <v>0</v>
          </cell>
          <cell r="L9">
            <v>200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1518.07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1100.54</v>
          </cell>
          <cell r="X9">
            <v>0</v>
          </cell>
          <cell r="Y9">
            <v>44927</v>
          </cell>
          <cell r="Z9" t="str">
            <v>ok</v>
          </cell>
          <cell r="AA9" t="str">
            <v>Total</v>
          </cell>
          <cell r="AB9">
            <v>45000</v>
          </cell>
          <cell r="AC9">
            <v>0</v>
          </cell>
          <cell r="AD9">
            <v>0</v>
          </cell>
          <cell r="AE9">
            <v>0</v>
          </cell>
          <cell r="AF9">
            <v>2168.67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47168.68</v>
          </cell>
          <cell r="AL9">
            <v>-1.0000000002037268E-2</v>
          </cell>
          <cell r="AM9">
            <v>44927</v>
          </cell>
          <cell r="AN9" t="str">
            <v>ok</v>
          </cell>
          <cell r="AO9" t="str">
            <v>Total</v>
          </cell>
          <cell r="AP9">
            <v>2025</v>
          </cell>
          <cell r="AQ9">
            <v>0</v>
          </cell>
          <cell r="AR9">
            <v>200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1518.07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1100.54</v>
          </cell>
          <cell r="BD9">
            <v>4843.6099999999997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1.0000000000218279E-2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</row>
        <row r="11">
          <cell r="E11" t="str">
            <v>01/01-31/2023</v>
          </cell>
          <cell r="F11">
            <v>0</v>
          </cell>
          <cell r="G11">
            <v>47168.68</v>
          </cell>
          <cell r="H11">
            <v>4843.6099999999997</v>
          </cell>
          <cell r="I11">
            <v>42325.07</v>
          </cell>
          <cell r="J11">
            <v>2025</v>
          </cell>
          <cell r="K11">
            <v>0</v>
          </cell>
          <cell r="L11">
            <v>200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1518.07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1100.54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</row>
        <row r="13">
          <cell r="AB13" t="e">
            <v>#REF!</v>
          </cell>
          <cell r="AM13">
            <v>0</v>
          </cell>
        </row>
      </sheetData>
      <sheetData sheetId="3" refreshError="1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  <cell r="AC1">
            <v>26</v>
          </cell>
          <cell r="AD1">
            <v>27</v>
          </cell>
          <cell r="AE1">
            <v>28</v>
          </cell>
          <cell r="AF1">
            <v>29</v>
          </cell>
          <cell r="AG1">
            <v>30</v>
          </cell>
          <cell r="AH1">
            <v>31</v>
          </cell>
          <cell r="AI1">
            <v>32</v>
          </cell>
          <cell r="AJ1">
            <v>33</v>
          </cell>
          <cell r="AK1">
            <v>34</v>
          </cell>
          <cell r="AL1">
            <v>35</v>
          </cell>
          <cell r="AM1">
            <v>36</v>
          </cell>
          <cell r="AN1">
            <v>37</v>
          </cell>
          <cell r="AO1">
            <v>38</v>
          </cell>
          <cell r="AP1">
            <v>39</v>
          </cell>
          <cell r="AQ1">
            <v>40</v>
          </cell>
          <cell r="AR1">
            <v>41</v>
          </cell>
          <cell r="AS1">
            <v>42</v>
          </cell>
          <cell r="AT1">
            <v>43</v>
          </cell>
          <cell r="AU1">
            <v>44</v>
          </cell>
          <cell r="AV1">
            <v>45</v>
          </cell>
          <cell r="AW1">
            <v>46</v>
          </cell>
          <cell r="AX1">
            <v>47</v>
          </cell>
          <cell r="AY1">
            <v>48</v>
          </cell>
          <cell r="AZ1">
            <v>49</v>
          </cell>
          <cell r="BA1">
            <v>50</v>
          </cell>
          <cell r="BB1">
            <v>51</v>
          </cell>
          <cell r="BC1">
            <v>52</v>
          </cell>
          <cell r="BD1">
            <v>53</v>
          </cell>
        </row>
        <row r="2">
          <cell r="D2">
            <v>0</v>
          </cell>
          <cell r="E2">
            <v>0</v>
          </cell>
          <cell r="F2">
            <v>0</v>
          </cell>
          <cell r="G2" t="str">
            <v>PAYROLL REGISTER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 t="str">
            <v>EARNINGS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 t="str">
            <v>DEDUCTIONS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</row>
        <row r="3">
          <cell r="D3" t="str">
            <v>NAME</v>
          </cell>
          <cell r="E3" t="str">
            <v>LAST NAME</v>
          </cell>
          <cell r="F3" t="str">
            <v>FIRST NAME</v>
          </cell>
          <cell r="G3" t="str">
            <v>GROSS EARNINGS</v>
          </cell>
          <cell r="H3" t="str">
            <v>TOTAL DEDN</v>
          </cell>
          <cell r="I3" t="str">
            <v>TOTAL NET</v>
          </cell>
          <cell r="J3" t="str">
            <v>SSS CONT</v>
          </cell>
          <cell r="K3" t="str">
            <v>SSS LOAN</v>
          </cell>
          <cell r="L3" t="str">
            <v>HDMF CONT</v>
          </cell>
          <cell r="M3" t="str">
            <v>HDMF LOAN</v>
          </cell>
          <cell r="N3" t="str">
            <v>PECEWA LOAN</v>
          </cell>
          <cell r="O3" t="str">
            <v>COOP LOAN</v>
          </cell>
          <cell r="P3" t="str">
            <v>PAGIBIG ADD</v>
          </cell>
          <cell r="Q3" t="str">
            <v>OTHER DEDUCTIONS</v>
          </cell>
          <cell r="R3" t="str">
            <v>HMO DEDN</v>
          </cell>
          <cell r="S3" t="str">
            <v>DED A</v>
          </cell>
          <cell r="T3" t="str">
            <v>ELECTRIC BILL</v>
          </cell>
          <cell r="U3" t="str">
            <v>MEM INS</v>
          </cell>
          <cell r="V3" t="str">
            <v>LWOP</v>
          </cell>
          <cell r="W3" t="str">
            <v>BASE TAX</v>
          </cell>
          <cell r="AA3" t="str">
            <v>NAME</v>
          </cell>
          <cell r="AB3" t="str">
            <v>BASIC RATE</v>
          </cell>
          <cell r="AC3" t="str">
            <v>COLA</v>
          </cell>
          <cell r="AD3" t="str">
            <v>TRANS ALLW</v>
          </cell>
          <cell r="AE3" t="str">
            <v>RICE SUBSI</v>
          </cell>
          <cell r="AF3" t="str">
            <v>HOLIDAY PAY</v>
          </cell>
          <cell r="AG3" t="str">
            <v>NITE DIFF</v>
          </cell>
          <cell r="AH3" t="str">
            <v>OT PAY</v>
          </cell>
          <cell r="AI3" t="str">
            <v>ACTING ALLW</v>
          </cell>
          <cell r="AJ3" t="str">
            <v>OTHER ADD</v>
          </cell>
          <cell r="AK3" t="str">
            <v>GROSS EARNINGS</v>
          </cell>
          <cell r="AM3">
            <v>0</v>
          </cell>
          <cell r="AO3" t="str">
            <v>NAME</v>
          </cell>
          <cell r="AP3" t="str">
            <v>SSS CONT</v>
          </cell>
          <cell r="AQ3" t="str">
            <v>SSS LOAN</v>
          </cell>
          <cell r="AR3" t="str">
            <v>HDMF CONT</v>
          </cell>
          <cell r="AS3" t="str">
            <v>HDMF LOAN</v>
          </cell>
          <cell r="AT3" t="str">
            <v>PECEWA LOAN</v>
          </cell>
          <cell r="AU3" t="str">
            <v>COOP LOAN</v>
          </cell>
          <cell r="AV3" t="str">
            <v>PAGIBIG AD</v>
          </cell>
          <cell r="AW3" t="str">
            <v>OTHER DEDN</v>
          </cell>
          <cell r="AX3" t="str">
            <v>HMO DEDN</v>
          </cell>
          <cell r="AY3" t="str">
            <v>DED A</v>
          </cell>
          <cell r="AZ3" t="str">
            <v>ELECT BILL</v>
          </cell>
          <cell r="BA3" t="str">
            <v>MEM INS</v>
          </cell>
          <cell r="BB3" t="str">
            <v>LWOP</v>
          </cell>
          <cell r="BC3" t="str">
            <v>BASE TAX</v>
          </cell>
          <cell r="BD3" t="str">
            <v>TOTAL DEDN</v>
          </cell>
        </row>
        <row r="4">
          <cell r="D4" t="str">
            <v>NAME</v>
          </cell>
          <cell r="E4" t="str">
            <v>LAST NAME</v>
          </cell>
          <cell r="F4" t="str">
            <v>FIRST NAME</v>
          </cell>
          <cell r="G4" t="str">
            <v>GROSS EARNINGS</v>
          </cell>
          <cell r="H4" t="str">
            <v>TOTAL DEDN</v>
          </cell>
          <cell r="I4" t="str">
            <v>TOTAL NET</v>
          </cell>
          <cell r="J4" t="str">
            <v>SSS CONT</v>
          </cell>
          <cell r="K4" t="str">
            <v>SSS LOAN</v>
          </cell>
          <cell r="L4" t="str">
            <v>HDMF CONT</v>
          </cell>
          <cell r="M4" t="str">
            <v>HDMF LOAN</v>
          </cell>
          <cell r="N4" t="str">
            <v>PECEWA LOAN</v>
          </cell>
          <cell r="O4" t="str">
            <v>COOP LOAN</v>
          </cell>
          <cell r="P4" t="str">
            <v>PAGIBIG ADD</v>
          </cell>
          <cell r="Q4" t="str">
            <v>OTHER DEDUCTIONS</v>
          </cell>
          <cell r="R4" t="str">
            <v>HMO DEDN</v>
          </cell>
          <cell r="S4" t="str">
            <v>DED A</v>
          </cell>
          <cell r="T4" t="str">
            <v>ELECTRIC BILL</v>
          </cell>
          <cell r="U4" t="str">
            <v>MEM INS</v>
          </cell>
          <cell r="V4" t="str">
            <v>LWOP</v>
          </cell>
          <cell r="W4" t="str">
            <v>BASE TAX</v>
          </cell>
          <cell r="AA4" t="str">
            <v>NAME</v>
          </cell>
          <cell r="AB4" t="str">
            <v>BASIC RATE</v>
          </cell>
          <cell r="AC4" t="str">
            <v>COLA</v>
          </cell>
          <cell r="AD4" t="str">
            <v>TRANS ALLW</v>
          </cell>
          <cell r="AE4" t="str">
            <v>RICE SUBSI</v>
          </cell>
          <cell r="AF4" t="str">
            <v>HOLIDAY PAY</v>
          </cell>
          <cell r="AG4" t="str">
            <v>NITE DIFF</v>
          </cell>
          <cell r="AH4" t="str">
            <v>OT PAY</v>
          </cell>
          <cell r="AI4" t="str">
            <v>ACTING ALLW</v>
          </cell>
          <cell r="AJ4" t="str">
            <v>OTHER ADD</v>
          </cell>
          <cell r="AK4" t="str">
            <v>GROSS EARNINGS</v>
          </cell>
          <cell r="AM4">
            <v>0</v>
          </cell>
          <cell r="AO4" t="str">
            <v>NAME</v>
          </cell>
          <cell r="AP4" t="str">
            <v>SSS CONT</v>
          </cell>
          <cell r="AQ4" t="str">
            <v>SSS LOAN</v>
          </cell>
          <cell r="AR4" t="str">
            <v>HDMF CONT</v>
          </cell>
          <cell r="AS4" t="str">
            <v>HDMF LOAN</v>
          </cell>
          <cell r="AT4" t="str">
            <v>PECEWA LOAN</v>
          </cell>
          <cell r="AU4" t="str">
            <v>COOP LOAN</v>
          </cell>
          <cell r="AV4" t="str">
            <v>PAGIBIG AD</v>
          </cell>
          <cell r="AW4" t="str">
            <v>OTHER DEDN</v>
          </cell>
          <cell r="AX4" t="str">
            <v>HMO DEDN</v>
          </cell>
          <cell r="AY4" t="str">
            <v>DED A</v>
          </cell>
          <cell r="AZ4" t="str">
            <v>ELECT BILL</v>
          </cell>
          <cell r="BA4" t="str">
            <v>MEM INS</v>
          </cell>
          <cell r="BB4" t="str">
            <v>LWOP</v>
          </cell>
          <cell r="BC4" t="str">
            <v>BASE TAX</v>
          </cell>
          <cell r="BD4" t="str">
            <v>TOTAL DEDN</v>
          </cell>
        </row>
        <row r="5">
          <cell r="D5" t="str">
            <v>Tajo, Glady May</v>
          </cell>
          <cell r="E5" t="str">
            <v xml:space="preserve">Tajo </v>
          </cell>
          <cell r="F5" t="str">
            <v>Glady May</v>
          </cell>
          <cell r="G5">
            <v>24000</v>
          </cell>
          <cell r="H5">
            <v>2030.27</v>
          </cell>
          <cell r="I5">
            <v>21969.73</v>
          </cell>
          <cell r="J5">
            <v>1080</v>
          </cell>
          <cell r="K5">
            <v>0</v>
          </cell>
          <cell r="L5">
            <v>100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216.87</v>
          </cell>
          <cell r="W5">
            <v>633.4</v>
          </cell>
          <cell r="X5">
            <v>0</v>
          </cell>
          <cell r="Y5">
            <v>44958</v>
          </cell>
          <cell r="Z5" t="str">
            <v>ok</v>
          </cell>
          <cell r="AA5" t="str">
            <v>Tajo, Glady May</v>
          </cell>
          <cell r="AB5">
            <v>24000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24000</v>
          </cell>
          <cell r="AL5">
            <v>0</v>
          </cell>
          <cell r="AM5">
            <v>44958</v>
          </cell>
          <cell r="AN5" t="str">
            <v>ok</v>
          </cell>
          <cell r="AO5" t="str">
            <v>Tajo, Glady May</v>
          </cell>
          <cell r="AP5">
            <v>1080</v>
          </cell>
          <cell r="AQ5">
            <v>0</v>
          </cell>
          <cell r="AR5">
            <v>100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216.87</v>
          </cell>
          <cell r="BC5">
            <v>633.4</v>
          </cell>
          <cell r="BD5">
            <v>2030.27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24000</v>
          </cell>
          <cell r="H6">
            <v>2030.27</v>
          </cell>
          <cell r="I6">
            <v>21969.73</v>
          </cell>
          <cell r="J6">
            <v>1080</v>
          </cell>
          <cell r="K6">
            <v>0</v>
          </cell>
          <cell r="L6">
            <v>100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216.87</v>
          </cell>
          <cell r="W6">
            <v>633.4</v>
          </cell>
          <cell r="X6">
            <v>0</v>
          </cell>
          <cell r="Y6">
            <v>44958</v>
          </cell>
          <cell r="Z6" t="str">
            <v>ok</v>
          </cell>
          <cell r="AA6">
            <v>0</v>
          </cell>
          <cell r="AB6">
            <v>24000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24000</v>
          </cell>
          <cell r="AL6">
            <v>0</v>
          </cell>
          <cell r="AM6">
            <v>44958</v>
          </cell>
          <cell r="AN6" t="str">
            <v>ok</v>
          </cell>
          <cell r="AO6">
            <v>0</v>
          </cell>
          <cell r="AP6">
            <v>1080</v>
          </cell>
          <cell r="AQ6">
            <v>0</v>
          </cell>
          <cell r="AR6">
            <v>100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216.87</v>
          </cell>
          <cell r="BC6">
            <v>633.4</v>
          </cell>
          <cell r="BD6">
            <v>2030.27</v>
          </cell>
        </row>
        <row r="7">
          <cell r="D7" t="str">
            <v>Total</v>
          </cell>
          <cell r="E7">
            <v>0</v>
          </cell>
          <cell r="F7">
            <v>0</v>
          </cell>
          <cell r="G7">
            <v>24000</v>
          </cell>
          <cell r="H7">
            <v>2030.27</v>
          </cell>
          <cell r="I7">
            <v>21969.73</v>
          </cell>
          <cell r="J7">
            <v>1080</v>
          </cell>
          <cell r="K7">
            <v>0</v>
          </cell>
          <cell r="L7">
            <v>100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216.87</v>
          </cell>
          <cell r="W7">
            <v>633.4</v>
          </cell>
          <cell r="X7">
            <v>0</v>
          </cell>
          <cell r="Y7">
            <v>0</v>
          </cell>
          <cell r="Z7" t="str">
            <v>ok</v>
          </cell>
          <cell r="AA7" t="str">
            <v>Total</v>
          </cell>
          <cell r="AB7">
            <v>24000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24000</v>
          </cell>
          <cell r="AL7">
            <v>0</v>
          </cell>
          <cell r="AM7">
            <v>0</v>
          </cell>
          <cell r="AN7" t="str">
            <v>ok</v>
          </cell>
          <cell r="AO7" t="str">
            <v>Total</v>
          </cell>
          <cell r="AP7">
            <v>1080</v>
          </cell>
          <cell r="AQ7">
            <v>0</v>
          </cell>
          <cell r="AR7">
            <v>100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216.87</v>
          </cell>
          <cell r="BC7">
            <v>633.4</v>
          </cell>
          <cell r="BD7">
            <v>2030.27</v>
          </cell>
        </row>
        <row r="8">
          <cell r="D8" t="str">
            <v>Rivera, Christine Margaret</v>
          </cell>
          <cell r="E8" t="str">
            <v>Riveriza</v>
          </cell>
          <cell r="F8" t="str">
            <v>Christine Margaret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</row>
        <row r="10">
          <cell r="E10" t="str">
            <v>02/01-28/2023</v>
          </cell>
          <cell r="F10">
            <v>0</v>
          </cell>
          <cell r="G10">
            <v>24000</v>
          </cell>
          <cell r="H10">
            <v>2030.27</v>
          </cell>
          <cell r="I10">
            <v>21969.73</v>
          </cell>
          <cell r="J10">
            <v>1080</v>
          </cell>
          <cell r="K10">
            <v>0</v>
          </cell>
          <cell r="L10">
            <v>100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216.87</v>
          </cell>
          <cell r="W10">
            <v>633.4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</row>
        <row r="12">
          <cell r="AB12" t="e">
            <v>#REF!</v>
          </cell>
          <cell r="AM1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6">
          <cell r="A6" t="str">
            <v>Range1</v>
          </cell>
          <cell r="B6" t="str">
            <v>Range2</v>
          </cell>
          <cell r="C6" t="str">
            <v>Regular SS/ EC</v>
          </cell>
          <cell r="D6" t="str">
            <v>WISP</v>
          </cell>
          <cell r="E6" t="str">
            <v>TOTAL</v>
          </cell>
          <cell r="F6" t="str">
            <v>ER</v>
          </cell>
          <cell r="G6" t="str">
            <v>EE</v>
          </cell>
          <cell r="H6" t="str">
            <v>TOTAL</v>
          </cell>
          <cell r="I6" t="str">
            <v>ECC</v>
          </cell>
          <cell r="J6" t="str">
            <v>EE</v>
          </cell>
          <cell r="K6" t="str">
            <v>TOTAL</v>
          </cell>
          <cell r="L6" t="str">
            <v>ER</v>
          </cell>
          <cell r="M6" t="str">
            <v>EE</v>
          </cell>
          <cell r="N6" t="str">
            <v>TOTAL</v>
          </cell>
          <cell r="O6" t="str">
            <v>ER</v>
          </cell>
          <cell r="P6" t="str">
            <v>EE</v>
          </cell>
          <cell r="Q6" t="str">
            <v>TOTAL</v>
          </cell>
        </row>
        <row r="7">
          <cell r="A7">
            <v>0</v>
          </cell>
          <cell r="B7">
            <v>4249.99</v>
          </cell>
          <cell r="C7">
            <v>4000</v>
          </cell>
          <cell r="D7">
            <v>0</v>
          </cell>
          <cell r="E7">
            <v>4000</v>
          </cell>
          <cell r="F7">
            <v>380</v>
          </cell>
          <cell r="G7">
            <v>180</v>
          </cell>
          <cell r="H7">
            <v>560</v>
          </cell>
          <cell r="I7">
            <v>10</v>
          </cell>
          <cell r="J7">
            <v>0</v>
          </cell>
          <cell r="K7">
            <v>10</v>
          </cell>
          <cell r="L7">
            <v>0</v>
          </cell>
          <cell r="M7">
            <v>0</v>
          </cell>
          <cell r="N7">
            <v>0</v>
          </cell>
          <cell r="O7">
            <v>390</v>
          </cell>
          <cell r="P7">
            <v>180</v>
          </cell>
          <cell r="Q7">
            <v>570</v>
          </cell>
        </row>
        <row r="8">
          <cell r="A8">
            <v>4250</v>
          </cell>
          <cell r="B8">
            <v>4749.99</v>
          </cell>
          <cell r="C8">
            <v>4500</v>
          </cell>
          <cell r="D8">
            <v>0</v>
          </cell>
          <cell r="E8">
            <v>4500</v>
          </cell>
          <cell r="F8">
            <v>427.5</v>
          </cell>
          <cell r="G8">
            <v>202.5</v>
          </cell>
          <cell r="H8">
            <v>630</v>
          </cell>
          <cell r="I8">
            <v>10</v>
          </cell>
          <cell r="J8">
            <v>0</v>
          </cell>
          <cell r="K8">
            <v>10</v>
          </cell>
          <cell r="L8">
            <v>0</v>
          </cell>
          <cell r="M8">
            <v>0</v>
          </cell>
          <cell r="N8">
            <v>0</v>
          </cell>
          <cell r="O8">
            <v>437.5</v>
          </cell>
          <cell r="P8">
            <v>202.5</v>
          </cell>
          <cell r="Q8">
            <v>640</v>
          </cell>
        </row>
        <row r="9">
          <cell r="A9">
            <v>4750</v>
          </cell>
          <cell r="B9">
            <v>5249.99</v>
          </cell>
          <cell r="C9">
            <v>5000</v>
          </cell>
          <cell r="D9">
            <v>0</v>
          </cell>
          <cell r="E9">
            <v>5000</v>
          </cell>
          <cell r="F9">
            <v>475</v>
          </cell>
          <cell r="G9">
            <v>225</v>
          </cell>
          <cell r="H9">
            <v>700</v>
          </cell>
          <cell r="I9">
            <v>10</v>
          </cell>
          <cell r="J9">
            <v>0</v>
          </cell>
          <cell r="K9">
            <v>10</v>
          </cell>
          <cell r="L9">
            <v>0</v>
          </cell>
          <cell r="M9">
            <v>0</v>
          </cell>
          <cell r="N9">
            <v>0</v>
          </cell>
          <cell r="O9">
            <v>485</v>
          </cell>
          <cell r="P9">
            <v>225</v>
          </cell>
          <cell r="Q9">
            <v>710</v>
          </cell>
        </row>
        <row r="10">
          <cell r="A10">
            <v>5250</v>
          </cell>
          <cell r="B10">
            <v>5749.99</v>
          </cell>
          <cell r="C10">
            <v>5500</v>
          </cell>
          <cell r="D10">
            <v>0</v>
          </cell>
          <cell r="E10">
            <v>5500</v>
          </cell>
          <cell r="F10">
            <v>522.5</v>
          </cell>
          <cell r="G10">
            <v>247.5</v>
          </cell>
          <cell r="H10">
            <v>770</v>
          </cell>
          <cell r="I10">
            <v>10</v>
          </cell>
          <cell r="J10">
            <v>0</v>
          </cell>
          <cell r="K10">
            <v>10</v>
          </cell>
          <cell r="L10">
            <v>0</v>
          </cell>
          <cell r="M10">
            <v>0</v>
          </cell>
          <cell r="N10">
            <v>0</v>
          </cell>
          <cell r="O10">
            <v>532.5</v>
          </cell>
          <cell r="P10">
            <v>247.5</v>
          </cell>
          <cell r="Q10">
            <v>780</v>
          </cell>
        </row>
        <row r="11">
          <cell r="A11">
            <v>5750</v>
          </cell>
          <cell r="B11">
            <v>6249.99</v>
          </cell>
          <cell r="C11">
            <v>6000</v>
          </cell>
          <cell r="D11">
            <v>0</v>
          </cell>
          <cell r="E11">
            <v>6000</v>
          </cell>
          <cell r="F11">
            <v>570</v>
          </cell>
          <cell r="G11">
            <v>270</v>
          </cell>
          <cell r="H11">
            <v>840</v>
          </cell>
          <cell r="I11">
            <v>10</v>
          </cell>
          <cell r="J11">
            <v>0</v>
          </cell>
          <cell r="K11">
            <v>10</v>
          </cell>
          <cell r="L11">
            <v>0</v>
          </cell>
          <cell r="M11">
            <v>0</v>
          </cell>
          <cell r="N11">
            <v>0</v>
          </cell>
          <cell r="O11">
            <v>580</v>
          </cell>
          <cell r="P11">
            <v>270</v>
          </cell>
          <cell r="Q11">
            <v>850</v>
          </cell>
        </row>
        <row r="12">
          <cell r="A12">
            <v>6250</v>
          </cell>
          <cell r="B12">
            <v>6749.99</v>
          </cell>
          <cell r="C12">
            <v>6500</v>
          </cell>
          <cell r="D12">
            <v>0</v>
          </cell>
          <cell r="E12">
            <v>6500</v>
          </cell>
          <cell r="F12">
            <v>617.5</v>
          </cell>
          <cell r="G12">
            <v>292.5</v>
          </cell>
          <cell r="H12">
            <v>910</v>
          </cell>
          <cell r="I12">
            <v>10</v>
          </cell>
          <cell r="J12">
            <v>0</v>
          </cell>
          <cell r="K12">
            <v>10</v>
          </cell>
          <cell r="L12">
            <v>0</v>
          </cell>
          <cell r="M12">
            <v>0</v>
          </cell>
          <cell r="N12">
            <v>0</v>
          </cell>
          <cell r="O12">
            <v>627.5</v>
          </cell>
          <cell r="P12">
            <v>292.5</v>
          </cell>
          <cell r="Q12">
            <v>920</v>
          </cell>
        </row>
        <row r="13">
          <cell r="A13">
            <v>6750</v>
          </cell>
          <cell r="B13">
            <v>7249.99</v>
          </cell>
          <cell r="C13">
            <v>7000</v>
          </cell>
          <cell r="D13">
            <v>0</v>
          </cell>
          <cell r="E13">
            <v>7000</v>
          </cell>
          <cell r="F13">
            <v>665</v>
          </cell>
          <cell r="G13">
            <v>315</v>
          </cell>
          <cell r="H13">
            <v>980</v>
          </cell>
          <cell r="I13">
            <v>10</v>
          </cell>
          <cell r="J13">
            <v>0</v>
          </cell>
          <cell r="K13">
            <v>10</v>
          </cell>
          <cell r="L13">
            <v>0</v>
          </cell>
          <cell r="M13">
            <v>0</v>
          </cell>
          <cell r="N13">
            <v>0</v>
          </cell>
          <cell r="O13">
            <v>675</v>
          </cell>
          <cell r="P13">
            <v>315</v>
          </cell>
          <cell r="Q13">
            <v>990</v>
          </cell>
        </row>
        <row r="14">
          <cell r="A14">
            <v>7250</v>
          </cell>
          <cell r="B14">
            <v>7749.99</v>
          </cell>
          <cell r="C14">
            <v>7500</v>
          </cell>
          <cell r="D14">
            <v>0</v>
          </cell>
          <cell r="E14">
            <v>7500</v>
          </cell>
          <cell r="F14">
            <v>712.5</v>
          </cell>
          <cell r="G14">
            <v>337.5</v>
          </cell>
          <cell r="H14">
            <v>1050</v>
          </cell>
          <cell r="I14">
            <v>10</v>
          </cell>
          <cell r="J14">
            <v>0</v>
          </cell>
          <cell r="K14">
            <v>10</v>
          </cell>
          <cell r="L14">
            <v>0</v>
          </cell>
          <cell r="M14">
            <v>0</v>
          </cell>
          <cell r="N14">
            <v>0</v>
          </cell>
          <cell r="O14">
            <v>722.5</v>
          </cell>
          <cell r="P14">
            <v>337.5</v>
          </cell>
          <cell r="Q14">
            <v>1060</v>
          </cell>
        </row>
        <row r="15">
          <cell r="A15">
            <v>7750</v>
          </cell>
          <cell r="B15">
            <v>8249.99</v>
          </cell>
          <cell r="C15">
            <v>8000</v>
          </cell>
          <cell r="D15">
            <v>0</v>
          </cell>
          <cell r="E15">
            <v>8000</v>
          </cell>
          <cell r="F15">
            <v>760</v>
          </cell>
          <cell r="G15">
            <v>360</v>
          </cell>
          <cell r="H15">
            <v>1120</v>
          </cell>
          <cell r="I15">
            <v>10</v>
          </cell>
          <cell r="J15">
            <v>0</v>
          </cell>
          <cell r="K15">
            <v>10</v>
          </cell>
          <cell r="L15">
            <v>0</v>
          </cell>
          <cell r="M15">
            <v>0</v>
          </cell>
          <cell r="N15">
            <v>0</v>
          </cell>
          <cell r="O15">
            <v>770</v>
          </cell>
          <cell r="P15">
            <v>360</v>
          </cell>
          <cell r="Q15">
            <v>1130</v>
          </cell>
        </row>
        <row r="16">
          <cell r="A16">
            <v>8250</v>
          </cell>
          <cell r="B16">
            <v>8749.99</v>
          </cell>
          <cell r="C16">
            <v>8500</v>
          </cell>
          <cell r="D16">
            <v>0</v>
          </cell>
          <cell r="E16">
            <v>8500</v>
          </cell>
          <cell r="F16">
            <v>807.5</v>
          </cell>
          <cell r="G16">
            <v>382.5</v>
          </cell>
          <cell r="H16">
            <v>1190</v>
          </cell>
          <cell r="I16">
            <v>10</v>
          </cell>
          <cell r="J16">
            <v>0</v>
          </cell>
          <cell r="K16">
            <v>10</v>
          </cell>
          <cell r="L16">
            <v>0</v>
          </cell>
          <cell r="M16">
            <v>0</v>
          </cell>
          <cell r="N16">
            <v>0</v>
          </cell>
          <cell r="O16">
            <v>817.5</v>
          </cell>
          <cell r="P16">
            <v>382.5</v>
          </cell>
          <cell r="Q16">
            <v>1200</v>
          </cell>
        </row>
        <row r="17">
          <cell r="A17">
            <v>8750</v>
          </cell>
          <cell r="B17">
            <v>9249.99</v>
          </cell>
          <cell r="C17">
            <v>9000</v>
          </cell>
          <cell r="D17">
            <v>0</v>
          </cell>
          <cell r="E17">
            <v>9000</v>
          </cell>
          <cell r="F17">
            <v>855</v>
          </cell>
          <cell r="G17">
            <v>405</v>
          </cell>
          <cell r="H17">
            <v>1260</v>
          </cell>
          <cell r="I17">
            <v>10</v>
          </cell>
          <cell r="J17">
            <v>0</v>
          </cell>
          <cell r="K17">
            <v>10</v>
          </cell>
          <cell r="L17">
            <v>0</v>
          </cell>
          <cell r="M17">
            <v>0</v>
          </cell>
          <cell r="N17">
            <v>0</v>
          </cell>
          <cell r="O17">
            <v>865</v>
          </cell>
          <cell r="P17">
            <v>405</v>
          </cell>
          <cell r="Q17">
            <v>1270</v>
          </cell>
        </row>
        <row r="18">
          <cell r="A18">
            <v>9250</v>
          </cell>
          <cell r="B18">
            <v>9749.99</v>
          </cell>
          <cell r="C18">
            <v>9500</v>
          </cell>
          <cell r="D18">
            <v>0</v>
          </cell>
          <cell r="E18">
            <v>9500</v>
          </cell>
          <cell r="F18">
            <v>902.5</v>
          </cell>
          <cell r="G18">
            <v>427.5</v>
          </cell>
          <cell r="H18">
            <v>1330</v>
          </cell>
          <cell r="I18">
            <v>10</v>
          </cell>
          <cell r="J18">
            <v>0</v>
          </cell>
          <cell r="K18">
            <v>10</v>
          </cell>
          <cell r="L18">
            <v>0</v>
          </cell>
          <cell r="M18">
            <v>0</v>
          </cell>
          <cell r="N18">
            <v>0</v>
          </cell>
          <cell r="O18">
            <v>912.5</v>
          </cell>
          <cell r="P18">
            <v>427.5</v>
          </cell>
          <cell r="Q18">
            <v>1340</v>
          </cell>
        </row>
        <row r="19">
          <cell r="A19">
            <v>9750</v>
          </cell>
          <cell r="B19">
            <v>10249.99</v>
          </cell>
          <cell r="C19">
            <v>10000</v>
          </cell>
          <cell r="D19">
            <v>0</v>
          </cell>
          <cell r="E19">
            <v>10000</v>
          </cell>
          <cell r="F19">
            <v>950</v>
          </cell>
          <cell r="G19">
            <v>450</v>
          </cell>
          <cell r="H19">
            <v>1400</v>
          </cell>
          <cell r="I19">
            <v>10</v>
          </cell>
          <cell r="J19">
            <v>0</v>
          </cell>
          <cell r="K19">
            <v>10</v>
          </cell>
          <cell r="L19">
            <v>0</v>
          </cell>
          <cell r="M19">
            <v>0</v>
          </cell>
          <cell r="N19">
            <v>0</v>
          </cell>
          <cell r="O19">
            <v>960</v>
          </cell>
          <cell r="P19">
            <v>450</v>
          </cell>
          <cell r="Q19">
            <v>1410</v>
          </cell>
        </row>
        <row r="20">
          <cell r="A20">
            <v>10250</v>
          </cell>
          <cell r="B20">
            <v>10749.99</v>
          </cell>
          <cell r="C20">
            <v>10500</v>
          </cell>
          <cell r="D20">
            <v>0</v>
          </cell>
          <cell r="E20">
            <v>10500</v>
          </cell>
          <cell r="F20">
            <v>997.5</v>
          </cell>
          <cell r="G20">
            <v>472.5</v>
          </cell>
          <cell r="H20">
            <v>1470</v>
          </cell>
          <cell r="I20">
            <v>10</v>
          </cell>
          <cell r="J20">
            <v>0</v>
          </cell>
          <cell r="K20">
            <v>10</v>
          </cell>
          <cell r="L20">
            <v>0</v>
          </cell>
          <cell r="M20">
            <v>0</v>
          </cell>
          <cell r="N20">
            <v>0</v>
          </cell>
          <cell r="O20">
            <v>1007.5</v>
          </cell>
          <cell r="P20">
            <v>472.5</v>
          </cell>
          <cell r="Q20">
            <v>1480</v>
          </cell>
        </row>
        <row r="21">
          <cell r="A21">
            <v>10750</v>
          </cell>
          <cell r="B21">
            <v>11249.99</v>
          </cell>
          <cell r="C21">
            <v>11000</v>
          </cell>
          <cell r="D21">
            <v>0</v>
          </cell>
          <cell r="E21">
            <v>11000</v>
          </cell>
          <cell r="F21">
            <v>1045</v>
          </cell>
          <cell r="G21">
            <v>495</v>
          </cell>
          <cell r="H21">
            <v>1540</v>
          </cell>
          <cell r="I21">
            <v>10</v>
          </cell>
          <cell r="J21">
            <v>0</v>
          </cell>
          <cell r="K21">
            <v>10</v>
          </cell>
          <cell r="L21">
            <v>0</v>
          </cell>
          <cell r="M21">
            <v>0</v>
          </cell>
          <cell r="N21">
            <v>0</v>
          </cell>
          <cell r="O21">
            <v>1055</v>
          </cell>
          <cell r="P21">
            <v>495</v>
          </cell>
          <cell r="Q21">
            <v>1550</v>
          </cell>
        </row>
        <row r="22">
          <cell r="A22">
            <v>11250</v>
          </cell>
          <cell r="B22">
            <v>11749.99</v>
          </cell>
          <cell r="C22">
            <v>11500</v>
          </cell>
          <cell r="D22">
            <v>0</v>
          </cell>
          <cell r="E22">
            <v>11500</v>
          </cell>
          <cell r="F22">
            <v>1092.5</v>
          </cell>
          <cell r="G22">
            <v>517.5</v>
          </cell>
          <cell r="H22">
            <v>1610</v>
          </cell>
          <cell r="I22">
            <v>10</v>
          </cell>
          <cell r="J22">
            <v>0</v>
          </cell>
          <cell r="K22">
            <v>10</v>
          </cell>
          <cell r="L22">
            <v>0</v>
          </cell>
          <cell r="M22">
            <v>0</v>
          </cell>
          <cell r="N22">
            <v>0</v>
          </cell>
          <cell r="O22">
            <v>1102.5</v>
          </cell>
          <cell r="P22">
            <v>517.5</v>
          </cell>
          <cell r="Q22">
            <v>1620</v>
          </cell>
        </row>
        <row r="23">
          <cell r="A23">
            <v>11750</v>
          </cell>
          <cell r="B23">
            <v>12249.99</v>
          </cell>
          <cell r="C23">
            <v>12000</v>
          </cell>
          <cell r="D23">
            <v>0</v>
          </cell>
          <cell r="E23">
            <v>12000</v>
          </cell>
          <cell r="F23">
            <v>1140</v>
          </cell>
          <cell r="G23">
            <v>540</v>
          </cell>
          <cell r="H23">
            <v>1680</v>
          </cell>
          <cell r="I23">
            <v>10</v>
          </cell>
          <cell r="J23">
            <v>0</v>
          </cell>
          <cell r="K23">
            <v>10</v>
          </cell>
          <cell r="L23">
            <v>0</v>
          </cell>
          <cell r="M23">
            <v>0</v>
          </cell>
          <cell r="N23">
            <v>0</v>
          </cell>
          <cell r="O23">
            <v>1150</v>
          </cell>
          <cell r="P23">
            <v>540</v>
          </cell>
          <cell r="Q23">
            <v>1690</v>
          </cell>
        </row>
        <row r="24">
          <cell r="A24">
            <v>12250</v>
          </cell>
          <cell r="B24">
            <v>12749.99</v>
          </cell>
          <cell r="C24">
            <v>12500</v>
          </cell>
          <cell r="D24">
            <v>0</v>
          </cell>
          <cell r="E24">
            <v>12500</v>
          </cell>
          <cell r="F24">
            <v>1187.5</v>
          </cell>
          <cell r="G24">
            <v>562.5</v>
          </cell>
          <cell r="H24">
            <v>1750</v>
          </cell>
          <cell r="I24">
            <v>10</v>
          </cell>
          <cell r="J24">
            <v>0</v>
          </cell>
          <cell r="K24">
            <v>10</v>
          </cell>
          <cell r="L24">
            <v>0</v>
          </cell>
          <cell r="M24">
            <v>0</v>
          </cell>
          <cell r="N24">
            <v>0</v>
          </cell>
          <cell r="O24">
            <v>1197.5</v>
          </cell>
          <cell r="P24">
            <v>562.5</v>
          </cell>
          <cell r="Q24">
            <v>1760</v>
          </cell>
        </row>
        <row r="25">
          <cell r="A25">
            <v>12750</v>
          </cell>
          <cell r="B25">
            <v>13249.99</v>
          </cell>
          <cell r="C25">
            <v>13000</v>
          </cell>
          <cell r="D25">
            <v>0</v>
          </cell>
          <cell r="E25">
            <v>13000</v>
          </cell>
          <cell r="F25">
            <v>1235</v>
          </cell>
          <cell r="G25">
            <v>585</v>
          </cell>
          <cell r="H25">
            <v>1820</v>
          </cell>
          <cell r="I25">
            <v>10</v>
          </cell>
          <cell r="J25">
            <v>0</v>
          </cell>
          <cell r="K25">
            <v>10</v>
          </cell>
          <cell r="L25">
            <v>0</v>
          </cell>
          <cell r="M25">
            <v>0</v>
          </cell>
          <cell r="N25">
            <v>0</v>
          </cell>
          <cell r="O25">
            <v>1245</v>
          </cell>
          <cell r="P25">
            <v>585</v>
          </cell>
          <cell r="Q25">
            <v>1830</v>
          </cell>
        </row>
        <row r="26">
          <cell r="A26">
            <v>13250</v>
          </cell>
          <cell r="B26">
            <v>13749.99</v>
          </cell>
          <cell r="C26">
            <v>13500</v>
          </cell>
          <cell r="D26">
            <v>0</v>
          </cell>
          <cell r="E26">
            <v>13500</v>
          </cell>
          <cell r="F26">
            <v>1282.5</v>
          </cell>
          <cell r="G26">
            <v>607.5</v>
          </cell>
          <cell r="H26">
            <v>1890</v>
          </cell>
          <cell r="I26">
            <v>10</v>
          </cell>
          <cell r="J26">
            <v>0</v>
          </cell>
          <cell r="K26">
            <v>10</v>
          </cell>
          <cell r="L26">
            <v>0</v>
          </cell>
          <cell r="M26">
            <v>0</v>
          </cell>
          <cell r="N26">
            <v>0</v>
          </cell>
          <cell r="O26">
            <v>1292.5</v>
          </cell>
          <cell r="P26">
            <v>607.5</v>
          </cell>
          <cell r="Q26">
            <v>1900</v>
          </cell>
        </row>
        <row r="27">
          <cell r="A27">
            <v>13750</v>
          </cell>
          <cell r="B27">
            <v>14249.99</v>
          </cell>
          <cell r="C27">
            <v>14000</v>
          </cell>
          <cell r="D27">
            <v>0</v>
          </cell>
          <cell r="E27">
            <v>14000</v>
          </cell>
          <cell r="F27">
            <v>1330</v>
          </cell>
          <cell r="G27">
            <v>630</v>
          </cell>
          <cell r="H27">
            <v>1960</v>
          </cell>
          <cell r="I27">
            <v>10</v>
          </cell>
          <cell r="J27">
            <v>0</v>
          </cell>
          <cell r="K27">
            <v>10</v>
          </cell>
          <cell r="L27">
            <v>0</v>
          </cell>
          <cell r="M27">
            <v>0</v>
          </cell>
          <cell r="N27">
            <v>0</v>
          </cell>
          <cell r="O27">
            <v>1340</v>
          </cell>
          <cell r="P27">
            <v>630</v>
          </cell>
          <cell r="Q27">
            <v>1970</v>
          </cell>
        </row>
        <row r="28">
          <cell r="A28">
            <v>14250</v>
          </cell>
          <cell r="B28">
            <v>14749.99</v>
          </cell>
          <cell r="C28">
            <v>14500</v>
          </cell>
          <cell r="D28">
            <v>0</v>
          </cell>
          <cell r="E28">
            <v>14500</v>
          </cell>
          <cell r="F28">
            <v>1377.5</v>
          </cell>
          <cell r="G28">
            <v>652.5</v>
          </cell>
          <cell r="H28">
            <v>2030</v>
          </cell>
          <cell r="I28">
            <v>10</v>
          </cell>
          <cell r="J28">
            <v>0</v>
          </cell>
          <cell r="K28">
            <v>10</v>
          </cell>
          <cell r="L28">
            <v>0</v>
          </cell>
          <cell r="M28">
            <v>0</v>
          </cell>
          <cell r="N28">
            <v>0</v>
          </cell>
          <cell r="O28">
            <v>1387.5</v>
          </cell>
          <cell r="P28">
            <v>652.5</v>
          </cell>
          <cell r="Q28">
            <v>2040</v>
          </cell>
        </row>
        <row r="29">
          <cell r="A29">
            <v>14750</v>
          </cell>
          <cell r="B29">
            <v>15249.99</v>
          </cell>
          <cell r="C29">
            <v>15000</v>
          </cell>
          <cell r="D29">
            <v>0</v>
          </cell>
          <cell r="E29">
            <v>15000</v>
          </cell>
          <cell r="F29">
            <v>1425</v>
          </cell>
          <cell r="G29">
            <v>675</v>
          </cell>
          <cell r="H29">
            <v>2100</v>
          </cell>
          <cell r="I29">
            <v>30</v>
          </cell>
          <cell r="J29">
            <v>0</v>
          </cell>
          <cell r="K29">
            <v>30</v>
          </cell>
          <cell r="L29">
            <v>0</v>
          </cell>
          <cell r="M29">
            <v>0</v>
          </cell>
          <cell r="N29">
            <v>0</v>
          </cell>
          <cell r="O29">
            <v>1455</v>
          </cell>
          <cell r="P29">
            <v>675</v>
          </cell>
          <cell r="Q29">
            <v>2130</v>
          </cell>
        </row>
        <row r="30">
          <cell r="A30">
            <v>15250</v>
          </cell>
          <cell r="B30">
            <v>15749.99</v>
          </cell>
          <cell r="C30">
            <v>15500</v>
          </cell>
          <cell r="D30">
            <v>0</v>
          </cell>
          <cell r="E30">
            <v>15500</v>
          </cell>
          <cell r="F30">
            <v>1472.5</v>
          </cell>
          <cell r="G30">
            <v>697.5</v>
          </cell>
          <cell r="H30">
            <v>2170</v>
          </cell>
          <cell r="I30">
            <v>30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0</v>
          </cell>
          <cell r="O30">
            <v>1502.5</v>
          </cell>
          <cell r="P30">
            <v>697.5</v>
          </cell>
          <cell r="Q30">
            <v>2200</v>
          </cell>
        </row>
        <row r="31">
          <cell r="A31">
            <v>15750</v>
          </cell>
          <cell r="B31">
            <v>16249.99</v>
          </cell>
          <cell r="C31">
            <v>16000</v>
          </cell>
          <cell r="D31">
            <v>0</v>
          </cell>
          <cell r="E31">
            <v>16000</v>
          </cell>
          <cell r="F31">
            <v>1520</v>
          </cell>
          <cell r="G31">
            <v>720</v>
          </cell>
          <cell r="H31">
            <v>2240</v>
          </cell>
          <cell r="I31">
            <v>30</v>
          </cell>
          <cell r="J31">
            <v>0</v>
          </cell>
          <cell r="K31">
            <v>30</v>
          </cell>
          <cell r="L31">
            <v>0</v>
          </cell>
          <cell r="M31">
            <v>0</v>
          </cell>
          <cell r="N31">
            <v>0</v>
          </cell>
          <cell r="O31">
            <v>1550</v>
          </cell>
          <cell r="P31">
            <v>720</v>
          </cell>
          <cell r="Q31">
            <v>2270</v>
          </cell>
        </row>
        <row r="32">
          <cell r="A32">
            <v>16250</v>
          </cell>
          <cell r="B32">
            <v>16749.990000000002</v>
          </cell>
          <cell r="C32">
            <v>16500</v>
          </cell>
          <cell r="D32">
            <v>0</v>
          </cell>
          <cell r="E32">
            <v>16500</v>
          </cell>
          <cell r="F32">
            <v>1567.5</v>
          </cell>
          <cell r="G32">
            <v>742.5</v>
          </cell>
          <cell r="H32">
            <v>2310</v>
          </cell>
          <cell r="I32">
            <v>30</v>
          </cell>
          <cell r="J32">
            <v>0</v>
          </cell>
          <cell r="K32">
            <v>30</v>
          </cell>
          <cell r="L32">
            <v>0</v>
          </cell>
          <cell r="M32">
            <v>0</v>
          </cell>
          <cell r="N32">
            <v>0</v>
          </cell>
          <cell r="O32">
            <v>1597.5</v>
          </cell>
          <cell r="P32">
            <v>742.5</v>
          </cell>
          <cell r="Q32">
            <v>2340</v>
          </cell>
        </row>
        <row r="33">
          <cell r="A33">
            <v>16750</v>
          </cell>
          <cell r="B33">
            <v>17249.990000000002</v>
          </cell>
          <cell r="C33">
            <v>17000</v>
          </cell>
          <cell r="D33">
            <v>0</v>
          </cell>
          <cell r="E33">
            <v>17000</v>
          </cell>
          <cell r="F33">
            <v>1615</v>
          </cell>
          <cell r="G33">
            <v>765</v>
          </cell>
          <cell r="H33">
            <v>2380</v>
          </cell>
          <cell r="I33">
            <v>30</v>
          </cell>
          <cell r="J33">
            <v>0</v>
          </cell>
          <cell r="K33">
            <v>30</v>
          </cell>
          <cell r="L33">
            <v>0</v>
          </cell>
          <cell r="M33">
            <v>0</v>
          </cell>
          <cell r="N33">
            <v>0</v>
          </cell>
          <cell r="O33">
            <v>1645</v>
          </cell>
          <cell r="P33">
            <v>765</v>
          </cell>
          <cell r="Q33">
            <v>2410</v>
          </cell>
        </row>
        <row r="34">
          <cell r="A34">
            <v>17250</v>
          </cell>
          <cell r="B34">
            <v>17749.990000000002</v>
          </cell>
          <cell r="C34">
            <v>17500</v>
          </cell>
          <cell r="D34">
            <v>0</v>
          </cell>
          <cell r="E34">
            <v>17500</v>
          </cell>
          <cell r="F34">
            <v>1662.5</v>
          </cell>
          <cell r="G34">
            <v>787.5</v>
          </cell>
          <cell r="H34">
            <v>2450</v>
          </cell>
          <cell r="I34">
            <v>30</v>
          </cell>
          <cell r="J34">
            <v>0</v>
          </cell>
          <cell r="K34">
            <v>30</v>
          </cell>
          <cell r="L34">
            <v>0</v>
          </cell>
          <cell r="M34">
            <v>0</v>
          </cell>
          <cell r="N34">
            <v>0</v>
          </cell>
          <cell r="O34">
            <v>1692.5</v>
          </cell>
          <cell r="P34">
            <v>787.5</v>
          </cell>
          <cell r="Q34">
            <v>2480</v>
          </cell>
        </row>
        <row r="35">
          <cell r="A35">
            <v>17750</v>
          </cell>
          <cell r="B35">
            <v>18249.990000000002</v>
          </cell>
          <cell r="C35">
            <v>18000</v>
          </cell>
          <cell r="D35">
            <v>0</v>
          </cell>
          <cell r="E35">
            <v>18000</v>
          </cell>
          <cell r="F35">
            <v>1710</v>
          </cell>
          <cell r="G35">
            <v>810</v>
          </cell>
          <cell r="H35">
            <v>2520</v>
          </cell>
          <cell r="I35">
            <v>30</v>
          </cell>
          <cell r="J35">
            <v>0</v>
          </cell>
          <cell r="K35">
            <v>30</v>
          </cell>
          <cell r="L35">
            <v>0</v>
          </cell>
          <cell r="M35">
            <v>0</v>
          </cell>
          <cell r="N35">
            <v>0</v>
          </cell>
          <cell r="O35">
            <v>1740</v>
          </cell>
          <cell r="P35">
            <v>810</v>
          </cell>
          <cell r="Q35">
            <v>2550</v>
          </cell>
        </row>
        <row r="36">
          <cell r="A36">
            <v>18250</v>
          </cell>
          <cell r="B36">
            <v>18749.990000000002</v>
          </cell>
          <cell r="C36">
            <v>18500</v>
          </cell>
          <cell r="D36">
            <v>0</v>
          </cell>
          <cell r="E36">
            <v>18500</v>
          </cell>
          <cell r="F36">
            <v>1757.5</v>
          </cell>
          <cell r="G36">
            <v>832.5</v>
          </cell>
          <cell r="H36">
            <v>2590</v>
          </cell>
          <cell r="I36">
            <v>30</v>
          </cell>
          <cell r="J36">
            <v>0</v>
          </cell>
          <cell r="K36">
            <v>30</v>
          </cell>
          <cell r="L36">
            <v>0</v>
          </cell>
          <cell r="M36">
            <v>0</v>
          </cell>
          <cell r="N36">
            <v>0</v>
          </cell>
          <cell r="O36">
            <v>1787.5</v>
          </cell>
          <cell r="P36">
            <v>832.5</v>
          </cell>
          <cell r="Q36">
            <v>2620</v>
          </cell>
        </row>
        <row r="37">
          <cell r="A37">
            <v>18750</v>
          </cell>
          <cell r="B37">
            <v>19249.990000000002</v>
          </cell>
          <cell r="C37">
            <v>19000</v>
          </cell>
          <cell r="D37">
            <v>0</v>
          </cell>
          <cell r="E37">
            <v>19000</v>
          </cell>
          <cell r="F37">
            <v>1805</v>
          </cell>
          <cell r="G37">
            <v>855</v>
          </cell>
          <cell r="H37">
            <v>2660</v>
          </cell>
          <cell r="I37">
            <v>30</v>
          </cell>
          <cell r="J37">
            <v>0</v>
          </cell>
          <cell r="K37">
            <v>30</v>
          </cell>
          <cell r="L37">
            <v>0</v>
          </cell>
          <cell r="M37">
            <v>0</v>
          </cell>
          <cell r="N37">
            <v>0</v>
          </cell>
          <cell r="O37">
            <v>1835</v>
          </cell>
          <cell r="P37">
            <v>855</v>
          </cell>
          <cell r="Q37">
            <v>2690</v>
          </cell>
        </row>
        <row r="38">
          <cell r="A38">
            <v>19250</v>
          </cell>
          <cell r="B38">
            <v>19749.990000000002</v>
          </cell>
          <cell r="C38">
            <v>19500</v>
          </cell>
          <cell r="D38">
            <v>0</v>
          </cell>
          <cell r="E38">
            <v>19500</v>
          </cell>
          <cell r="F38">
            <v>1852.5</v>
          </cell>
          <cell r="G38">
            <v>877.5</v>
          </cell>
          <cell r="H38">
            <v>2730</v>
          </cell>
          <cell r="I38">
            <v>30</v>
          </cell>
          <cell r="J38">
            <v>0</v>
          </cell>
          <cell r="K38">
            <v>30</v>
          </cell>
          <cell r="L38">
            <v>0</v>
          </cell>
          <cell r="M38">
            <v>0</v>
          </cell>
          <cell r="N38">
            <v>0</v>
          </cell>
          <cell r="O38">
            <v>1882.5</v>
          </cell>
          <cell r="P38">
            <v>877.5</v>
          </cell>
          <cell r="Q38">
            <v>2760</v>
          </cell>
        </row>
        <row r="39">
          <cell r="A39">
            <v>19750</v>
          </cell>
          <cell r="B39">
            <v>20249.990000000002</v>
          </cell>
          <cell r="C39">
            <v>20000</v>
          </cell>
          <cell r="D39">
            <v>0</v>
          </cell>
          <cell r="E39">
            <v>20000</v>
          </cell>
          <cell r="F39">
            <v>1900</v>
          </cell>
          <cell r="G39">
            <v>900</v>
          </cell>
          <cell r="H39">
            <v>2800</v>
          </cell>
          <cell r="I39">
            <v>30</v>
          </cell>
          <cell r="J39">
            <v>0</v>
          </cell>
          <cell r="K39">
            <v>30</v>
          </cell>
          <cell r="L39">
            <v>0</v>
          </cell>
          <cell r="M39">
            <v>0</v>
          </cell>
          <cell r="N39">
            <v>0</v>
          </cell>
          <cell r="O39">
            <v>1930</v>
          </cell>
          <cell r="P39">
            <v>900</v>
          </cell>
          <cell r="Q39">
            <v>2830</v>
          </cell>
        </row>
        <row r="40">
          <cell r="A40">
            <v>20250</v>
          </cell>
          <cell r="B40">
            <v>20749.990000000002</v>
          </cell>
          <cell r="C40">
            <v>20000</v>
          </cell>
          <cell r="D40">
            <v>500</v>
          </cell>
          <cell r="E40">
            <v>20500</v>
          </cell>
          <cell r="F40">
            <v>1900</v>
          </cell>
          <cell r="G40">
            <v>900</v>
          </cell>
          <cell r="H40">
            <v>2800</v>
          </cell>
          <cell r="I40">
            <v>30</v>
          </cell>
          <cell r="J40">
            <v>0</v>
          </cell>
          <cell r="K40">
            <v>30</v>
          </cell>
          <cell r="L40">
            <v>47.5</v>
          </cell>
          <cell r="M40">
            <v>22.5</v>
          </cell>
          <cell r="N40">
            <v>70</v>
          </cell>
          <cell r="O40">
            <v>1977.5</v>
          </cell>
          <cell r="P40">
            <v>922.5</v>
          </cell>
          <cell r="Q40">
            <v>2900</v>
          </cell>
        </row>
        <row r="41">
          <cell r="A41">
            <v>20750</v>
          </cell>
          <cell r="B41">
            <v>21249.99</v>
          </cell>
          <cell r="C41">
            <v>20000</v>
          </cell>
          <cell r="D41">
            <v>1000</v>
          </cell>
          <cell r="E41">
            <v>21000</v>
          </cell>
          <cell r="F41">
            <v>1900</v>
          </cell>
          <cell r="G41">
            <v>900</v>
          </cell>
          <cell r="H41">
            <v>2800</v>
          </cell>
          <cell r="I41">
            <v>30</v>
          </cell>
          <cell r="J41">
            <v>0</v>
          </cell>
          <cell r="K41">
            <v>30</v>
          </cell>
          <cell r="L41">
            <v>95</v>
          </cell>
          <cell r="M41">
            <v>45</v>
          </cell>
          <cell r="N41">
            <v>140</v>
          </cell>
          <cell r="O41">
            <v>2025</v>
          </cell>
          <cell r="P41">
            <v>945</v>
          </cell>
          <cell r="Q41">
            <v>2970</v>
          </cell>
        </row>
        <row r="42">
          <cell r="A42">
            <v>21250</v>
          </cell>
          <cell r="B42">
            <v>21749.99</v>
          </cell>
          <cell r="C42">
            <v>20000</v>
          </cell>
          <cell r="D42">
            <v>1500</v>
          </cell>
          <cell r="E42">
            <v>21500</v>
          </cell>
          <cell r="F42">
            <v>1900</v>
          </cell>
          <cell r="G42">
            <v>900</v>
          </cell>
          <cell r="H42">
            <v>2800</v>
          </cell>
          <cell r="I42">
            <v>30</v>
          </cell>
          <cell r="J42">
            <v>0</v>
          </cell>
          <cell r="K42">
            <v>30</v>
          </cell>
          <cell r="L42">
            <v>142.5</v>
          </cell>
          <cell r="M42">
            <v>67.5</v>
          </cell>
          <cell r="N42">
            <v>210</v>
          </cell>
          <cell r="O42">
            <v>2072.5</v>
          </cell>
          <cell r="P42">
            <v>967.5</v>
          </cell>
          <cell r="Q42">
            <v>3040</v>
          </cell>
        </row>
        <row r="43">
          <cell r="A43">
            <v>21750</v>
          </cell>
          <cell r="B43">
            <v>22249.99</v>
          </cell>
          <cell r="C43">
            <v>20000</v>
          </cell>
          <cell r="D43">
            <v>2000</v>
          </cell>
          <cell r="E43">
            <v>22000</v>
          </cell>
          <cell r="F43">
            <v>1900</v>
          </cell>
          <cell r="G43">
            <v>900</v>
          </cell>
          <cell r="H43">
            <v>2800</v>
          </cell>
          <cell r="I43">
            <v>30</v>
          </cell>
          <cell r="J43">
            <v>0</v>
          </cell>
          <cell r="K43">
            <v>30</v>
          </cell>
          <cell r="L43">
            <v>190</v>
          </cell>
          <cell r="M43">
            <v>90</v>
          </cell>
          <cell r="N43">
            <v>280</v>
          </cell>
          <cell r="O43">
            <v>2120</v>
          </cell>
          <cell r="P43">
            <v>990</v>
          </cell>
          <cell r="Q43">
            <v>3110</v>
          </cell>
        </row>
        <row r="44">
          <cell r="A44">
            <v>22250</v>
          </cell>
          <cell r="B44">
            <v>22749.99</v>
          </cell>
          <cell r="C44">
            <v>20000</v>
          </cell>
          <cell r="D44">
            <v>2500</v>
          </cell>
          <cell r="E44">
            <v>22500</v>
          </cell>
          <cell r="F44">
            <v>1900</v>
          </cell>
          <cell r="G44">
            <v>900</v>
          </cell>
          <cell r="H44">
            <v>2800</v>
          </cell>
          <cell r="I44">
            <v>30</v>
          </cell>
          <cell r="J44">
            <v>0</v>
          </cell>
          <cell r="K44">
            <v>30</v>
          </cell>
          <cell r="L44">
            <v>237.5</v>
          </cell>
          <cell r="M44">
            <v>112.5</v>
          </cell>
          <cell r="N44">
            <v>350</v>
          </cell>
          <cell r="O44">
            <v>2167.5</v>
          </cell>
          <cell r="P44">
            <v>1012.5</v>
          </cell>
          <cell r="Q44">
            <v>3180</v>
          </cell>
        </row>
        <row r="45">
          <cell r="A45">
            <v>22750</v>
          </cell>
          <cell r="B45">
            <v>23249.99</v>
          </cell>
          <cell r="C45">
            <v>20000</v>
          </cell>
          <cell r="D45">
            <v>3000</v>
          </cell>
          <cell r="E45">
            <v>23000</v>
          </cell>
          <cell r="F45">
            <v>1900</v>
          </cell>
          <cell r="G45">
            <v>900</v>
          </cell>
          <cell r="H45">
            <v>2800</v>
          </cell>
          <cell r="I45">
            <v>30</v>
          </cell>
          <cell r="J45">
            <v>0</v>
          </cell>
          <cell r="K45">
            <v>30</v>
          </cell>
          <cell r="L45">
            <v>285</v>
          </cell>
          <cell r="M45">
            <v>135</v>
          </cell>
          <cell r="N45">
            <v>420</v>
          </cell>
          <cell r="O45">
            <v>2215</v>
          </cell>
          <cell r="P45">
            <v>1035</v>
          </cell>
          <cell r="Q45">
            <v>3250</v>
          </cell>
        </row>
        <row r="46">
          <cell r="A46">
            <v>23250</v>
          </cell>
          <cell r="B46">
            <v>23749.99</v>
          </cell>
          <cell r="C46">
            <v>20000</v>
          </cell>
          <cell r="D46">
            <v>3500</v>
          </cell>
          <cell r="E46">
            <v>23500</v>
          </cell>
          <cell r="F46">
            <v>1900</v>
          </cell>
          <cell r="G46">
            <v>900</v>
          </cell>
          <cell r="H46">
            <v>2800</v>
          </cell>
          <cell r="I46">
            <v>30</v>
          </cell>
          <cell r="J46">
            <v>0</v>
          </cell>
          <cell r="K46">
            <v>30</v>
          </cell>
          <cell r="L46">
            <v>332.5</v>
          </cell>
          <cell r="M46">
            <v>157.5</v>
          </cell>
          <cell r="N46">
            <v>490</v>
          </cell>
          <cell r="O46">
            <v>2262.5</v>
          </cell>
          <cell r="P46">
            <v>1057.5</v>
          </cell>
          <cell r="Q46">
            <v>3320</v>
          </cell>
        </row>
        <row r="47">
          <cell r="A47">
            <v>23750</v>
          </cell>
          <cell r="B47">
            <v>24249.99</v>
          </cell>
          <cell r="C47">
            <v>20000</v>
          </cell>
          <cell r="D47">
            <v>4000</v>
          </cell>
          <cell r="E47">
            <v>24000</v>
          </cell>
          <cell r="F47">
            <v>1900</v>
          </cell>
          <cell r="G47">
            <v>900</v>
          </cell>
          <cell r="H47">
            <v>2800</v>
          </cell>
          <cell r="I47">
            <v>30</v>
          </cell>
          <cell r="J47">
            <v>0</v>
          </cell>
          <cell r="K47">
            <v>30</v>
          </cell>
          <cell r="L47">
            <v>380</v>
          </cell>
          <cell r="M47">
            <v>180</v>
          </cell>
          <cell r="N47">
            <v>560</v>
          </cell>
          <cell r="O47">
            <v>2310</v>
          </cell>
          <cell r="P47">
            <v>1080</v>
          </cell>
          <cell r="Q47">
            <v>3390</v>
          </cell>
        </row>
        <row r="48">
          <cell r="A48">
            <v>24250</v>
          </cell>
          <cell r="B48">
            <v>24749.99</v>
          </cell>
          <cell r="C48">
            <v>20000</v>
          </cell>
          <cell r="D48">
            <v>4500</v>
          </cell>
          <cell r="E48">
            <v>24500</v>
          </cell>
          <cell r="F48">
            <v>1900</v>
          </cell>
          <cell r="G48">
            <v>900</v>
          </cell>
          <cell r="H48">
            <v>2800</v>
          </cell>
          <cell r="I48">
            <v>30</v>
          </cell>
          <cell r="J48">
            <v>0</v>
          </cell>
          <cell r="K48">
            <v>30</v>
          </cell>
          <cell r="L48">
            <v>427.5</v>
          </cell>
          <cell r="M48">
            <v>202.5</v>
          </cell>
          <cell r="N48">
            <v>630</v>
          </cell>
          <cell r="O48">
            <v>2357.5</v>
          </cell>
          <cell r="P48">
            <v>1102.5</v>
          </cell>
          <cell r="Q48">
            <v>3460</v>
          </cell>
        </row>
        <row r="49">
          <cell r="A49">
            <v>24750</v>
          </cell>
          <cell r="B49">
            <v>25249.99</v>
          </cell>
          <cell r="C49">
            <v>20000</v>
          </cell>
          <cell r="D49">
            <v>5000</v>
          </cell>
          <cell r="E49">
            <v>25000</v>
          </cell>
          <cell r="F49">
            <v>1900</v>
          </cell>
          <cell r="G49">
            <v>900</v>
          </cell>
          <cell r="H49">
            <v>2800</v>
          </cell>
          <cell r="I49">
            <v>30</v>
          </cell>
          <cell r="J49">
            <v>0</v>
          </cell>
          <cell r="K49">
            <v>30</v>
          </cell>
          <cell r="L49">
            <v>475</v>
          </cell>
          <cell r="M49">
            <v>225</v>
          </cell>
          <cell r="N49">
            <v>700</v>
          </cell>
          <cell r="O49">
            <v>2405</v>
          </cell>
          <cell r="P49">
            <v>1125</v>
          </cell>
          <cell r="Q49">
            <v>3530</v>
          </cell>
        </row>
        <row r="50">
          <cell r="A50">
            <v>25250</v>
          </cell>
          <cell r="B50">
            <v>25749.99</v>
          </cell>
          <cell r="C50">
            <v>20000</v>
          </cell>
          <cell r="D50">
            <v>5500</v>
          </cell>
          <cell r="E50">
            <v>25500</v>
          </cell>
          <cell r="F50">
            <v>1900</v>
          </cell>
          <cell r="G50">
            <v>900</v>
          </cell>
          <cell r="H50">
            <v>2800</v>
          </cell>
          <cell r="I50">
            <v>30</v>
          </cell>
          <cell r="J50">
            <v>0</v>
          </cell>
          <cell r="K50">
            <v>30</v>
          </cell>
          <cell r="L50">
            <v>522.5</v>
          </cell>
          <cell r="M50">
            <v>247.5</v>
          </cell>
          <cell r="N50">
            <v>770</v>
          </cell>
          <cell r="O50">
            <v>2452.5</v>
          </cell>
          <cell r="P50">
            <v>1147.5</v>
          </cell>
          <cell r="Q50">
            <v>3600</v>
          </cell>
        </row>
        <row r="51">
          <cell r="A51">
            <v>25750</v>
          </cell>
          <cell r="B51">
            <v>26249.99</v>
          </cell>
          <cell r="C51">
            <v>20000</v>
          </cell>
          <cell r="D51">
            <v>6000</v>
          </cell>
          <cell r="E51">
            <v>26000</v>
          </cell>
          <cell r="F51">
            <v>1900</v>
          </cell>
          <cell r="G51">
            <v>900</v>
          </cell>
          <cell r="H51">
            <v>2800</v>
          </cell>
          <cell r="I51">
            <v>30</v>
          </cell>
          <cell r="J51">
            <v>0</v>
          </cell>
          <cell r="K51">
            <v>30</v>
          </cell>
          <cell r="L51">
            <v>570</v>
          </cell>
          <cell r="M51">
            <v>270</v>
          </cell>
          <cell r="N51">
            <v>840</v>
          </cell>
          <cell r="O51">
            <v>2500</v>
          </cell>
          <cell r="P51">
            <v>1170</v>
          </cell>
          <cell r="Q51">
            <v>3670</v>
          </cell>
        </row>
        <row r="52">
          <cell r="A52">
            <v>26250</v>
          </cell>
          <cell r="B52">
            <v>26749.99</v>
          </cell>
          <cell r="C52">
            <v>20000</v>
          </cell>
          <cell r="D52">
            <v>6500</v>
          </cell>
          <cell r="E52">
            <v>26500</v>
          </cell>
          <cell r="F52">
            <v>1900</v>
          </cell>
          <cell r="G52">
            <v>900</v>
          </cell>
          <cell r="H52">
            <v>2800</v>
          </cell>
          <cell r="I52">
            <v>30</v>
          </cell>
          <cell r="J52">
            <v>0</v>
          </cell>
          <cell r="K52">
            <v>30</v>
          </cell>
          <cell r="L52">
            <v>617.5</v>
          </cell>
          <cell r="M52">
            <v>292.5</v>
          </cell>
          <cell r="N52">
            <v>910</v>
          </cell>
          <cell r="O52">
            <v>2547.5</v>
          </cell>
          <cell r="P52">
            <v>1192.5</v>
          </cell>
          <cell r="Q52">
            <v>3740</v>
          </cell>
        </row>
        <row r="53">
          <cell r="A53">
            <v>26750</v>
          </cell>
          <cell r="B53">
            <v>27249.99</v>
          </cell>
          <cell r="C53">
            <v>20000</v>
          </cell>
          <cell r="D53">
            <v>7000</v>
          </cell>
          <cell r="E53">
            <v>27000</v>
          </cell>
          <cell r="F53">
            <v>1900</v>
          </cell>
          <cell r="G53">
            <v>900</v>
          </cell>
          <cell r="H53">
            <v>2800</v>
          </cell>
          <cell r="I53">
            <v>30</v>
          </cell>
          <cell r="J53">
            <v>0</v>
          </cell>
          <cell r="K53">
            <v>30</v>
          </cell>
          <cell r="L53">
            <v>665</v>
          </cell>
          <cell r="M53">
            <v>315</v>
          </cell>
          <cell r="N53">
            <v>980</v>
          </cell>
          <cell r="O53">
            <v>2595</v>
          </cell>
          <cell r="P53">
            <v>1215</v>
          </cell>
          <cell r="Q53">
            <v>3810</v>
          </cell>
        </row>
        <row r="54">
          <cell r="A54">
            <v>27250</v>
          </cell>
          <cell r="B54">
            <v>27749.99</v>
          </cell>
          <cell r="C54">
            <v>20000</v>
          </cell>
          <cell r="D54">
            <v>7500</v>
          </cell>
          <cell r="E54">
            <v>27500</v>
          </cell>
          <cell r="F54">
            <v>1900</v>
          </cell>
          <cell r="G54">
            <v>900</v>
          </cell>
          <cell r="H54">
            <v>2800</v>
          </cell>
          <cell r="I54">
            <v>30</v>
          </cell>
          <cell r="J54">
            <v>0</v>
          </cell>
          <cell r="K54">
            <v>30</v>
          </cell>
          <cell r="L54">
            <v>712.5</v>
          </cell>
          <cell r="M54">
            <v>337.5</v>
          </cell>
          <cell r="N54">
            <v>1050</v>
          </cell>
          <cell r="O54">
            <v>2642.5</v>
          </cell>
          <cell r="P54">
            <v>1237.5</v>
          </cell>
          <cell r="Q54">
            <v>3880</v>
          </cell>
        </row>
        <row r="55">
          <cell r="A55">
            <v>27750</v>
          </cell>
          <cell r="B55">
            <v>28249.99</v>
          </cell>
          <cell r="C55">
            <v>20000</v>
          </cell>
          <cell r="D55">
            <v>8000</v>
          </cell>
          <cell r="E55">
            <v>28000</v>
          </cell>
          <cell r="F55">
            <v>1900</v>
          </cell>
          <cell r="G55">
            <v>900</v>
          </cell>
          <cell r="H55">
            <v>2800</v>
          </cell>
          <cell r="I55">
            <v>30</v>
          </cell>
          <cell r="J55">
            <v>0</v>
          </cell>
          <cell r="K55">
            <v>30</v>
          </cell>
          <cell r="L55">
            <v>760</v>
          </cell>
          <cell r="M55">
            <v>360</v>
          </cell>
          <cell r="N55">
            <v>1120</v>
          </cell>
          <cell r="O55">
            <v>2690</v>
          </cell>
          <cell r="P55">
            <v>1260</v>
          </cell>
          <cell r="Q55">
            <v>3950</v>
          </cell>
        </row>
        <row r="56">
          <cell r="A56">
            <v>28250</v>
          </cell>
          <cell r="B56">
            <v>28749.99</v>
          </cell>
          <cell r="C56">
            <v>20000</v>
          </cell>
          <cell r="D56">
            <v>8500</v>
          </cell>
          <cell r="E56">
            <v>28500</v>
          </cell>
          <cell r="F56">
            <v>1900</v>
          </cell>
          <cell r="G56">
            <v>900</v>
          </cell>
          <cell r="H56">
            <v>2800</v>
          </cell>
          <cell r="I56">
            <v>30</v>
          </cell>
          <cell r="J56">
            <v>0</v>
          </cell>
          <cell r="K56">
            <v>30</v>
          </cell>
          <cell r="L56">
            <v>807.5</v>
          </cell>
          <cell r="M56">
            <v>382.5</v>
          </cell>
          <cell r="N56">
            <v>1190</v>
          </cell>
          <cell r="O56">
            <v>2737.5</v>
          </cell>
          <cell r="P56">
            <v>1282.5</v>
          </cell>
          <cell r="Q56">
            <v>4020</v>
          </cell>
        </row>
        <row r="57">
          <cell r="A57">
            <v>28750</v>
          </cell>
          <cell r="B57">
            <v>29249.99</v>
          </cell>
          <cell r="C57">
            <v>20000</v>
          </cell>
          <cell r="D57">
            <v>9000</v>
          </cell>
          <cell r="E57">
            <v>29000</v>
          </cell>
          <cell r="F57">
            <v>1900</v>
          </cell>
          <cell r="G57">
            <v>900</v>
          </cell>
          <cell r="H57">
            <v>2800</v>
          </cell>
          <cell r="I57">
            <v>30</v>
          </cell>
          <cell r="J57">
            <v>0</v>
          </cell>
          <cell r="K57">
            <v>30</v>
          </cell>
          <cell r="L57">
            <v>855</v>
          </cell>
          <cell r="M57">
            <v>405</v>
          </cell>
          <cell r="N57">
            <v>1260</v>
          </cell>
          <cell r="O57">
            <v>2785</v>
          </cell>
          <cell r="P57">
            <v>1305</v>
          </cell>
          <cell r="Q57">
            <v>4090</v>
          </cell>
        </row>
        <row r="58">
          <cell r="A58">
            <v>29250</v>
          </cell>
          <cell r="B58">
            <v>29749.99</v>
          </cell>
          <cell r="C58">
            <v>20000</v>
          </cell>
          <cell r="D58">
            <v>9500</v>
          </cell>
          <cell r="E58">
            <v>29500</v>
          </cell>
          <cell r="F58">
            <v>1900</v>
          </cell>
          <cell r="G58">
            <v>900</v>
          </cell>
          <cell r="H58">
            <v>2800</v>
          </cell>
          <cell r="I58">
            <v>30</v>
          </cell>
          <cell r="J58">
            <v>0</v>
          </cell>
          <cell r="K58">
            <v>30</v>
          </cell>
          <cell r="L58">
            <v>902.5</v>
          </cell>
          <cell r="M58">
            <v>427.5</v>
          </cell>
          <cell r="N58">
            <v>1330</v>
          </cell>
          <cell r="O58">
            <v>2832.5</v>
          </cell>
          <cell r="P58">
            <v>1327.5</v>
          </cell>
          <cell r="Q58">
            <v>4160</v>
          </cell>
        </row>
        <row r="59">
          <cell r="A59">
            <v>29750</v>
          </cell>
          <cell r="B59" t="str">
            <v>Over</v>
          </cell>
          <cell r="C59">
            <v>20000</v>
          </cell>
          <cell r="D59">
            <v>10000</v>
          </cell>
          <cell r="E59">
            <v>30000</v>
          </cell>
          <cell r="F59">
            <v>1900</v>
          </cell>
          <cell r="G59">
            <v>900</v>
          </cell>
          <cell r="H59">
            <v>2800</v>
          </cell>
          <cell r="I59">
            <v>30</v>
          </cell>
          <cell r="J59">
            <v>0</v>
          </cell>
          <cell r="K59">
            <v>30</v>
          </cell>
          <cell r="L59">
            <v>950</v>
          </cell>
          <cell r="M59">
            <v>450</v>
          </cell>
          <cell r="N59">
            <v>1400</v>
          </cell>
          <cell r="O59">
            <v>2880</v>
          </cell>
          <cell r="P59">
            <v>1350</v>
          </cell>
          <cell r="Q59">
            <v>4230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M67"/>
  <sheetViews>
    <sheetView tabSelected="1" topLeftCell="A43" workbookViewId="0">
      <selection activeCell="M8" sqref="M8"/>
    </sheetView>
  </sheetViews>
  <sheetFormatPr defaultRowHeight="15"/>
  <cols>
    <col min="1" max="2" width="9" bestFit="1" customWidth="1"/>
    <col min="3" max="3" width="13.28515625" bestFit="1" customWidth="1"/>
    <col min="4" max="4" width="9" bestFit="1" customWidth="1"/>
    <col min="5" max="5" width="9.7109375" style="32" bestFit="1" customWidth="1"/>
    <col min="6" max="6" width="8" bestFit="1" customWidth="1"/>
    <col min="7" max="7" width="8.5703125" customWidth="1"/>
    <col min="8" max="8" width="6.5703125" customWidth="1"/>
    <col min="9" max="9" width="8.7109375" style="32" bestFit="1" customWidth="1"/>
    <col min="10" max="10" width="9.28515625" customWidth="1"/>
    <col min="11" max="11" width="9.140625" customWidth="1"/>
    <col min="12" max="12" width="9.140625" style="32" customWidth="1"/>
    <col min="13" max="13" width="10.85546875" customWidth="1"/>
  </cols>
  <sheetData>
    <row r="1" spans="1:13" s="7" customFormat="1" ht="14.25">
      <c r="A1" s="1">
        <v>1</v>
      </c>
      <c r="B1" s="1">
        <v>2</v>
      </c>
      <c r="C1" s="2">
        <v>3</v>
      </c>
      <c r="D1" s="3">
        <v>4</v>
      </c>
      <c r="E1" s="3">
        <v>5</v>
      </c>
      <c r="F1" s="4">
        <v>6</v>
      </c>
      <c r="G1" s="4">
        <v>7</v>
      </c>
      <c r="H1" s="4"/>
      <c r="I1" s="4">
        <v>8</v>
      </c>
      <c r="J1" s="5">
        <v>9</v>
      </c>
      <c r="K1" s="5">
        <v>10</v>
      </c>
      <c r="L1" s="6">
        <v>11</v>
      </c>
      <c r="M1" s="2">
        <v>17</v>
      </c>
    </row>
    <row r="2" spans="1:13" s="7" customFormat="1" ht="14.25">
      <c r="A2" s="8" t="s">
        <v>0</v>
      </c>
      <c r="B2" s="9"/>
      <c r="C2" s="10" t="s">
        <v>1</v>
      </c>
      <c r="D2" s="9"/>
      <c r="E2" s="9"/>
      <c r="F2" s="11" t="s">
        <v>2</v>
      </c>
      <c r="G2" s="9"/>
      <c r="H2" s="9"/>
      <c r="I2" s="9"/>
      <c r="J2" s="9"/>
      <c r="K2" s="9"/>
      <c r="L2" s="9"/>
      <c r="M2" s="9"/>
    </row>
    <row r="3" spans="1:13" s="7" customFormat="1" ht="14.25">
      <c r="A3" s="9"/>
      <c r="B3" s="9"/>
      <c r="C3" s="9"/>
      <c r="D3" s="9"/>
      <c r="E3" s="9"/>
      <c r="F3" s="12" t="s">
        <v>3</v>
      </c>
      <c r="G3" s="9"/>
      <c r="H3" s="9"/>
      <c r="I3" s="9"/>
      <c r="J3" s="13" t="s">
        <v>4</v>
      </c>
      <c r="K3" s="9"/>
      <c r="L3" s="9"/>
    </row>
    <row r="4" spans="1:13" s="7" customFormat="1" ht="14.25">
      <c r="A4" s="9"/>
      <c r="B4" s="9"/>
      <c r="C4" s="2" t="s">
        <v>5</v>
      </c>
      <c r="D4" s="3" t="s">
        <v>6</v>
      </c>
      <c r="E4" s="3" t="s">
        <v>7</v>
      </c>
      <c r="F4" s="4" t="s">
        <v>8</v>
      </c>
      <c r="G4" s="4" t="s">
        <v>9</v>
      </c>
      <c r="H4" s="4"/>
      <c r="I4" s="4" t="s">
        <v>10</v>
      </c>
      <c r="J4" s="5" t="s">
        <v>8</v>
      </c>
      <c r="K4" s="5" t="s">
        <v>9</v>
      </c>
      <c r="L4" s="6" t="s">
        <v>10</v>
      </c>
      <c r="M4" s="2" t="s">
        <v>10</v>
      </c>
    </row>
    <row r="5" spans="1:13">
      <c r="A5" s="14" t="s">
        <v>0</v>
      </c>
      <c r="B5" s="15"/>
      <c r="C5" s="16" t="s">
        <v>11</v>
      </c>
      <c r="D5" s="17"/>
      <c r="E5" s="18"/>
      <c r="F5" s="16" t="s">
        <v>12</v>
      </c>
      <c r="G5" s="17"/>
      <c r="H5" s="17"/>
      <c r="I5" s="18"/>
      <c r="J5" s="16" t="s">
        <v>13</v>
      </c>
      <c r="K5" s="17"/>
      <c r="L5" s="18"/>
      <c r="M5" s="19"/>
    </row>
    <row r="6" spans="1:13">
      <c r="A6" s="20" t="s">
        <v>14</v>
      </c>
      <c r="B6" s="21" t="s">
        <v>15</v>
      </c>
      <c r="C6" s="22" t="s">
        <v>16</v>
      </c>
      <c r="D6" s="23" t="s">
        <v>17</v>
      </c>
      <c r="E6" s="24" t="s">
        <v>10</v>
      </c>
      <c r="F6" s="22" t="s">
        <v>12</v>
      </c>
      <c r="G6" s="23" t="s">
        <v>18</v>
      </c>
      <c r="H6" s="25" t="s">
        <v>13</v>
      </c>
      <c r="I6" s="26" t="s">
        <v>10</v>
      </c>
      <c r="J6" s="22" t="s">
        <v>12</v>
      </c>
      <c r="K6" s="23" t="s">
        <v>18</v>
      </c>
      <c r="L6" s="26" t="s">
        <v>10</v>
      </c>
      <c r="M6" s="24" t="s">
        <v>10</v>
      </c>
    </row>
    <row r="7" spans="1:13">
      <c r="A7" s="27">
        <v>0</v>
      </c>
      <c r="B7" s="28">
        <v>5249</v>
      </c>
      <c r="C7" s="29">
        <v>5000</v>
      </c>
      <c r="D7" s="29">
        <v>0</v>
      </c>
      <c r="E7" s="30">
        <f>+C7+D7</f>
        <v>5000</v>
      </c>
      <c r="F7" s="29">
        <v>500</v>
      </c>
      <c r="G7" s="29"/>
      <c r="H7" s="29">
        <v>10</v>
      </c>
      <c r="I7" s="30">
        <f>F7+G7+H7</f>
        <v>510</v>
      </c>
      <c r="J7" s="29">
        <v>250</v>
      </c>
      <c r="K7" s="29"/>
      <c r="L7" s="30">
        <f>+J7+K7</f>
        <v>250</v>
      </c>
      <c r="M7" s="30">
        <f>I7+L7</f>
        <v>760</v>
      </c>
    </row>
    <row r="8" spans="1:13">
      <c r="A8" s="29">
        <v>5250</v>
      </c>
      <c r="B8" s="29">
        <v>5749.99</v>
      </c>
      <c r="C8" s="29">
        <v>5500</v>
      </c>
      <c r="D8" s="29">
        <v>0</v>
      </c>
      <c r="E8" s="30">
        <f t="shared" ref="E8:E67" si="0">+C8+D8</f>
        <v>5500</v>
      </c>
      <c r="F8" s="29">
        <v>550</v>
      </c>
      <c r="G8" s="29"/>
      <c r="H8" s="29">
        <v>10</v>
      </c>
      <c r="I8" s="30">
        <f t="shared" ref="I8:I67" si="1">F8+G8+H8</f>
        <v>560</v>
      </c>
      <c r="J8" s="29">
        <v>275</v>
      </c>
      <c r="K8" s="29"/>
      <c r="L8" s="30">
        <f t="shared" ref="L8:L67" si="2">+J8+K8</f>
        <v>275</v>
      </c>
      <c r="M8" s="30">
        <f t="shared" ref="M8:M67" si="3">I8+L8</f>
        <v>835</v>
      </c>
    </row>
    <row r="9" spans="1:13">
      <c r="A9" s="29">
        <v>5750</v>
      </c>
      <c r="B9" s="29">
        <v>6249.99</v>
      </c>
      <c r="C9" s="29">
        <v>6000</v>
      </c>
      <c r="D9" s="29">
        <v>0</v>
      </c>
      <c r="E9" s="30">
        <f t="shared" si="0"/>
        <v>6000</v>
      </c>
      <c r="F9" s="29">
        <v>600</v>
      </c>
      <c r="G9" s="29"/>
      <c r="H9" s="29">
        <v>10</v>
      </c>
      <c r="I9" s="30">
        <f t="shared" si="1"/>
        <v>610</v>
      </c>
      <c r="J9" s="29">
        <v>300</v>
      </c>
      <c r="K9" s="29"/>
      <c r="L9" s="30">
        <f t="shared" si="2"/>
        <v>300</v>
      </c>
      <c r="M9" s="30">
        <f t="shared" si="3"/>
        <v>910</v>
      </c>
    </row>
    <row r="10" spans="1:13">
      <c r="A10" s="29">
        <v>6250</v>
      </c>
      <c r="B10" s="29">
        <v>6749.99</v>
      </c>
      <c r="C10" s="29">
        <v>6500</v>
      </c>
      <c r="D10" s="29">
        <v>0</v>
      </c>
      <c r="E10" s="30">
        <f t="shared" si="0"/>
        <v>6500</v>
      </c>
      <c r="F10" s="29">
        <v>650</v>
      </c>
      <c r="G10" s="29"/>
      <c r="H10" s="29">
        <v>10</v>
      </c>
      <c r="I10" s="30">
        <f t="shared" si="1"/>
        <v>660</v>
      </c>
      <c r="J10" s="29">
        <v>325</v>
      </c>
      <c r="K10" s="29"/>
      <c r="L10" s="30">
        <f t="shared" si="2"/>
        <v>325</v>
      </c>
      <c r="M10" s="30">
        <f t="shared" si="3"/>
        <v>985</v>
      </c>
    </row>
    <row r="11" spans="1:13">
      <c r="A11" s="29">
        <v>6750</v>
      </c>
      <c r="B11" s="29">
        <v>7249.99</v>
      </c>
      <c r="C11" s="29">
        <v>7000</v>
      </c>
      <c r="D11" s="29">
        <v>0</v>
      </c>
      <c r="E11" s="30">
        <f t="shared" si="0"/>
        <v>7000</v>
      </c>
      <c r="F11" s="29">
        <v>700</v>
      </c>
      <c r="G11" s="29"/>
      <c r="H11" s="29">
        <v>10</v>
      </c>
      <c r="I11" s="30">
        <f t="shared" si="1"/>
        <v>710</v>
      </c>
      <c r="J11" s="29">
        <v>350</v>
      </c>
      <c r="K11" s="29"/>
      <c r="L11" s="30">
        <f t="shared" si="2"/>
        <v>350</v>
      </c>
      <c r="M11" s="30">
        <f t="shared" si="3"/>
        <v>1060</v>
      </c>
    </row>
    <row r="12" spans="1:13">
      <c r="A12" s="29">
        <v>7250</v>
      </c>
      <c r="B12" s="29">
        <v>7749.99</v>
      </c>
      <c r="C12" s="29">
        <v>7500</v>
      </c>
      <c r="D12" s="29">
        <v>0</v>
      </c>
      <c r="E12" s="30">
        <f t="shared" si="0"/>
        <v>7500</v>
      </c>
      <c r="F12" s="29">
        <v>750</v>
      </c>
      <c r="G12" s="29"/>
      <c r="H12" s="29">
        <v>10</v>
      </c>
      <c r="I12" s="30">
        <f t="shared" si="1"/>
        <v>760</v>
      </c>
      <c r="J12" s="29">
        <v>375</v>
      </c>
      <c r="K12" s="29"/>
      <c r="L12" s="30">
        <f t="shared" si="2"/>
        <v>375</v>
      </c>
      <c r="M12" s="30">
        <f t="shared" si="3"/>
        <v>1135</v>
      </c>
    </row>
    <row r="13" spans="1:13">
      <c r="A13" s="29">
        <v>7750</v>
      </c>
      <c r="B13" s="29">
        <v>8249.99</v>
      </c>
      <c r="C13" s="29">
        <v>8000</v>
      </c>
      <c r="D13" s="29">
        <v>0</v>
      </c>
      <c r="E13" s="30">
        <f t="shared" si="0"/>
        <v>8000</v>
      </c>
      <c r="F13" s="29">
        <v>800</v>
      </c>
      <c r="G13" s="29"/>
      <c r="H13" s="29">
        <v>10</v>
      </c>
      <c r="I13" s="30">
        <f t="shared" si="1"/>
        <v>810</v>
      </c>
      <c r="J13" s="29">
        <v>400</v>
      </c>
      <c r="K13" s="29"/>
      <c r="L13" s="30">
        <f t="shared" si="2"/>
        <v>400</v>
      </c>
      <c r="M13" s="30">
        <f t="shared" si="3"/>
        <v>1210</v>
      </c>
    </row>
    <row r="14" spans="1:13">
      <c r="A14" s="29">
        <v>8250</v>
      </c>
      <c r="B14" s="29">
        <v>8749.99</v>
      </c>
      <c r="C14" s="29">
        <v>8500</v>
      </c>
      <c r="D14" s="29">
        <v>0</v>
      </c>
      <c r="E14" s="30">
        <f t="shared" si="0"/>
        <v>8500</v>
      </c>
      <c r="F14" s="29">
        <v>850</v>
      </c>
      <c r="G14" s="29"/>
      <c r="H14" s="29">
        <v>10</v>
      </c>
      <c r="I14" s="30">
        <f t="shared" si="1"/>
        <v>860</v>
      </c>
      <c r="J14" s="29">
        <v>425</v>
      </c>
      <c r="K14" s="29"/>
      <c r="L14" s="30">
        <f t="shared" si="2"/>
        <v>425</v>
      </c>
      <c r="M14" s="30">
        <f t="shared" si="3"/>
        <v>1285</v>
      </c>
    </row>
    <row r="15" spans="1:13">
      <c r="A15" s="29">
        <v>8750</v>
      </c>
      <c r="B15" s="29">
        <v>9249.99</v>
      </c>
      <c r="C15" s="29">
        <v>9000</v>
      </c>
      <c r="D15" s="29">
        <v>0</v>
      </c>
      <c r="E15" s="30">
        <f t="shared" si="0"/>
        <v>9000</v>
      </c>
      <c r="F15" s="29">
        <v>900</v>
      </c>
      <c r="G15" s="29"/>
      <c r="H15" s="29">
        <v>10</v>
      </c>
      <c r="I15" s="30">
        <f t="shared" si="1"/>
        <v>910</v>
      </c>
      <c r="J15" s="29">
        <v>450</v>
      </c>
      <c r="K15" s="29"/>
      <c r="L15" s="30">
        <f t="shared" si="2"/>
        <v>450</v>
      </c>
      <c r="M15" s="30">
        <f t="shared" si="3"/>
        <v>1360</v>
      </c>
    </row>
    <row r="16" spans="1:13">
      <c r="A16" s="29">
        <v>9250</v>
      </c>
      <c r="B16" s="29">
        <v>9749.99</v>
      </c>
      <c r="C16" s="29">
        <v>9500</v>
      </c>
      <c r="D16" s="29">
        <v>0</v>
      </c>
      <c r="E16" s="30">
        <f t="shared" si="0"/>
        <v>9500</v>
      </c>
      <c r="F16" s="29">
        <v>950</v>
      </c>
      <c r="G16" s="29"/>
      <c r="H16" s="29">
        <v>10</v>
      </c>
      <c r="I16" s="30">
        <f t="shared" si="1"/>
        <v>960</v>
      </c>
      <c r="J16" s="29">
        <v>475</v>
      </c>
      <c r="K16" s="29"/>
      <c r="L16" s="30">
        <f t="shared" si="2"/>
        <v>475</v>
      </c>
      <c r="M16" s="30">
        <f t="shared" si="3"/>
        <v>1435</v>
      </c>
    </row>
    <row r="17" spans="1:13">
      <c r="A17" s="29">
        <v>9750</v>
      </c>
      <c r="B17" s="29">
        <v>10249.99</v>
      </c>
      <c r="C17" s="29">
        <v>10000</v>
      </c>
      <c r="D17" s="29">
        <v>0</v>
      </c>
      <c r="E17" s="30">
        <f t="shared" si="0"/>
        <v>10000</v>
      </c>
      <c r="F17" s="29">
        <v>1000</v>
      </c>
      <c r="G17" s="29"/>
      <c r="H17" s="29">
        <v>10</v>
      </c>
      <c r="I17" s="30">
        <f t="shared" si="1"/>
        <v>1010</v>
      </c>
      <c r="J17" s="29">
        <v>500</v>
      </c>
      <c r="K17" s="29"/>
      <c r="L17" s="30">
        <f t="shared" si="2"/>
        <v>500</v>
      </c>
      <c r="M17" s="30">
        <f t="shared" si="3"/>
        <v>1510</v>
      </c>
    </row>
    <row r="18" spans="1:13">
      <c r="A18" s="29">
        <v>10250</v>
      </c>
      <c r="B18" s="29">
        <v>10749.99</v>
      </c>
      <c r="C18" s="29">
        <v>10500</v>
      </c>
      <c r="D18" s="29">
        <v>0</v>
      </c>
      <c r="E18" s="30">
        <f t="shared" si="0"/>
        <v>10500</v>
      </c>
      <c r="F18" s="29">
        <v>1050</v>
      </c>
      <c r="G18" s="29"/>
      <c r="H18" s="29">
        <v>10</v>
      </c>
      <c r="I18" s="30">
        <f t="shared" si="1"/>
        <v>1060</v>
      </c>
      <c r="J18" s="29">
        <v>525</v>
      </c>
      <c r="K18" s="29"/>
      <c r="L18" s="30">
        <f t="shared" si="2"/>
        <v>525</v>
      </c>
      <c r="M18" s="30">
        <f t="shared" si="3"/>
        <v>1585</v>
      </c>
    </row>
    <row r="19" spans="1:13">
      <c r="A19" s="29">
        <v>10750</v>
      </c>
      <c r="B19" s="29">
        <v>11249.99</v>
      </c>
      <c r="C19" s="29">
        <v>11000</v>
      </c>
      <c r="D19" s="29">
        <v>0</v>
      </c>
      <c r="E19" s="30">
        <f t="shared" si="0"/>
        <v>11000</v>
      </c>
      <c r="F19" s="29">
        <v>1100</v>
      </c>
      <c r="G19" s="29"/>
      <c r="H19" s="29">
        <v>10</v>
      </c>
      <c r="I19" s="30">
        <f t="shared" si="1"/>
        <v>1110</v>
      </c>
      <c r="J19" s="29">
        <v>550</v>
      </c>
      <c r="K19" s="29"/>
      <c r="L19" s="30">
        <f t="shared" si="2"/>
        <v>550</v>
      </c>
      <c r="M19" s="30">
        <f t="shared" si="3"/>
        <v>1660</v>
      </c>
    </row>
    <row r="20" spans="1:13">
      <c r="A20" s="29">
        <v>11250</v>
      </c>
      <c r="B20" s="29">
        <v>11749.99</v>
      </c>
      <c r="C20" s="29">
        <v>11500</v>
      </c>
      <c r="D20" s="29">
        <v>0</v>
      </c>
      <c r="E20" s="30">
        <f t="shared" si="0"/>
        <v>11500</v>
      </c>
      <c r="F20" s="29">
        <v>1150</v>
      </c>
      <c r="G20" s="29"/>
      <c r="H20" s="29">
        <v>10</v>
      </c>
      <c r="I20" s="30">
        <f t="shared" si="1"/>
        <v>1160</v>
      </c>
      <c r="J20" s="29">
        <v>575</v>
      </c>
      <c r="K20" s="29"/>
      <c r="L20" s="30">
        <f t="shared" si="2"/>
        <v>575</v>
      </c>
      <c r="M20" s="30">
        <f t="shared" si="3"/>
        <v>1735</v>
      </c>
    </row>
    <row r="21" spans="1:13">
      <c r="A21" s="29">
        <v>11750</v>
      </c>
      <c r="B21" s="29">
        <v>12249.99</v>
      </c>
      <c r="C21" s="29">
        <v>12000</v>
      </c>
      <c r="D21" s="29">
        <v>0</v>
      </c>
      <c r="E21" s="30">
        <f t="shared" si="0"/>
        <v>12000</v>
      </c>
      <c r="F21" s="29">
        <v>1200</v>
      </c>
      <c r="G21" s="29"/>
      <c r="H21" s="29">
        <v>10</v>
      </c>
      <c r="I21" s="30">
        <f t="shared" si="1"/>
        <v>1210</v>
      </c>
      <c r="J21" s="29">
        <v>600</v>
      </c>
      <c r="K21" s="29"/>
      <c r="L21" s="30">
        <f t="shared" si="2"/>
        <v>600</v>
      </c>
      <c r="M21" s="30">
        <f t="shared" si="3"/>
        <v>1810</v>
      </c>
    </row>
    <row r="22" spans="1:13">
      <c r="A22" s="29">
        <v>12250</v>
      </c>
      <c r="B22" s="29">
        <v>12749.99</v>
      </c>
      <c r="C22" s="29">
        <v>12500</v>
      </c>
      <c r="D22" s="29">
        <v>0</v>
      </c>
      <c r="E22" s="30">
        <f t="shared" si="0"/>
        <v>12500</v>
      </c>
      <c r="F22" s="29">
        <v>1250</v>
      </c>
      <c r="G22" s="29"/>
      <c r="H22" s="29">
        <v>10</v>
      </c>
      <c r="I22" s="30">
        <f t="shared" si="1"/>
        <v>1260</v>
      </c>
      <c r="J22" s="29">
        <v>625</v>
      </c>
      <c r="K22" s="29"/>
      <c r="L22" s="30">
        <f t="shared" si="2"/>
        <v>625</v>
      </c>
      <c r="M22" s="30">
        <f t="shared" si="3"/>
        <v>1885</v>
      </c>
    </row>
    <row r="23" spans="1:13">
      <c r="A23" s="29">
        <v>12750</v>
      </c>
      <c r="B23" s="29">
        <v>13249.99</v>
      </c>
      <c r="C23" s="29">
        <v>13000</v>
      </c>
      <c r="D23" s="29">
        <v>0</v>
      </c>
      <c r="E23" s="30">
        <f t="shared" si="0"/>
        <v>13000</v>
      </c>
      <c r="F23" s="29">
        <v>1300</v>
      </c>
      <c r="G23" s="29"/>
      <c r="H23" s="29">
        <v>10</v>
      </c>
      <c r="I23" s="30">
        <f t="shared" si="1"/>
        <v>1310</v>
      </c>
      <c r="J23" s="29">
        <v>650</v>
      </c>
      <c r="K23" s="29"/>
      <c r="L23" s="30">
        <f t="shared" si="2"/>
        <v>650</v>
      </c>
      <c r="M23" s="30">
        <f t="shared" si="3"/>
        <v>1960</v>
      </c>
    </row>
    <row r="24" spans="1:13">
      <c r="A24" s="29">
        <v>13250</v>
      </c>
      <c r="B24" s="29">
        <v>13749.99</v>
      </c>
      <c r="C24" s="29">
        <v>13500</v>
      </c>
      <c r="D24" s="29">
        <v>0</v>
      </c>
      <c r="E24" s="30">
        <f t="shared" si="0"/>
        <v>13500</v>
      </c>
      <c r="F24" s="29">
        <v>1350</v>
      </c>
      <c r="G24" s="29"/>
      <c r="H24" s="29">
        <v>10</v>
      </c>
      <c r="I24" s="30">
        <f t="shared" si="1"/>
        <v>1360</v>
      </c>
      <c r="J24" s="29">
        <v>675</v>
      </c>
      <c r="K24" s="29"/>
      <c r="L24" s="30">
        <f t="shared" si="2"/>
        <v>675</v>
      </c>
      <c r="M24" s="30">
        <f t="shared" si="3"/>
        <v>2035</v>
      </c>
    </row>
    <row r="25" spans="1:13">
      <c r="A25" s="29">
        <v>13750</v>
      </c>
      <c r="B25" s="29">
        <v>14249.99</v>
      </c>
      <c r="C25" s="29">
        <v>14000</v>
      </c>
      <c r="D25" s="29">
        <v>0</v>
      </c>
      <c r="E25" s="30">
        <f t="shared" si="0"/>
        <v>14000</v>
      </c>
      <c r="F25" s="29">
        <v>1400</v>
      </c>
      <c r="G25" s="29"/>
      <c r="H25" s="29">
        <v>10</v>
      </c>
      <c r="I25" s="30">
        <f t="shared" si="1"/>
        <v>1410</v>
      </c>
      <c r="J25" s="29">
        <v>700</v>
      </c>
      <c r="K25" s="29"/>
      <c r="L25" s="30">
        <f t="shared" si="2"/>
        <v>700</v>
      </c>
      <c r="M25" s="30">
        <f t="shared" si="3"/>
        <v>2110</v>
      </c>
    </row>
    <row r="26" spans="1:13">
      <c r="A26" s="29">
        <v>14250</v>
      </c>
      <c r="B26" s="29">
        <v>14749.99</v>
      </c>
      <c r="C26" s="29">
        <v>14500</v>
      </c>
      <c r="D26" s="29">
        <v>0</v>
      </c>
      <c r="E26" s="30">
        <f t="shared" si="0"/>
        <v>14500</v>
      </c>
      <c r="F26" s="29">
        <v>1450</v>
      </c>
      <c r="G26" s="29"/>
      <c r="H26" s="29">
        <v>10</v>
      </c>
      <c r="I26" s="30">
        <f t="shared" si="1"/>
        <v>1460</v>
      </c>
      <c r="J26" s="29">
        <v>725</v>
      </c>
      <c r="K26" s="29"/>
      <c r="L26" s="30">
        <f t="shared" si="2"/>
        <v>725</v>
      </c>
      <c r="M26" s="30">
        <f t="shared" si="3"/>
        <v>2185</v>
      </c>
    </row>
    <row r="27" spans="1:13">
      <c r="A27" s="29">
        <v>14750</v>
      </c>
      <c r="B27" s="29">
        <v>15249.99</v>
      </c>
      <c r="C27" s="29">
        <v>15000</v>
      </c>
      <c r="D27" s="29">
        <v>0</v>
      </c>
      <c r="E27" s="30">
        <f t="shared" si="0"/>
        <v>15000</v>
      </c>
      <c r="F27" s="29">
        <v>1500</v>
      </c>
      <c r="G27" s="29"/>
      <c r="H27" s="29">
        <v>30</v>
      </c>
      <c r="I27" s="30">
        <f t="shared" si="1"/>
        <v>1530</v>
      </c>
      <c r="J27" s="29">
        <v>750</v>
      </c>
      <c r="K27" s="29"/>
      <c r="L27" s="30">
        <f t="shared" si="2"/>
        <v>750</v>
      </c>
      <c r="M27" s="30">
        <f t="shared" si="3"/>
        <v>2280</v>
      </c>
    </row>
    <row r="28" spans="1:13">
      <c r="A28" s="29">
        <v>15250</v>
      </c>
      <c r="B28" s="29">
        <v>15749.99</v>
      </c>
      <c r="C28" s="29">
        <v>15500</v>
      </c>
      <c r="D28" s="29">
        <v>0</v>
      </c>
      <c r="E28" s="30">
        <f t="shared" si="0"/>
        <v>15500</v>
      </c>
      <c r="F28" s="29">
        <v>1550</v>
      </c>
      <c r="G28" s="29"/>
      <c r="H28" s="29">
        <v>30</v>
      </c>
      <c r="I28" s="30">
        <f t="shared" si="1"/>
        <v>1580</v>
      </c>
      <c r="J28" s="29">
        <v>775</v>
      </c>
      <c r="K28" s="29"/>
      <c r="L28" s="30">
        <f t="shared" si="2"/>
        <v>775</v>
      </c>
      <c r="M28" s="30">
        <f t="shared" si="3"/>
        <v>2355</v>
      </c>
    </row>
    <row r="29" spans="1:13">
      <c r="A29" s="29">
        <v>15750</v>
      </c>
      <c r="B29" s="29">
        <v>16249.99</v>
      </c>
      <c r="C29" s="29">
        <v>16000</v>
      </c>
      <c r="D29" s="29">
        <v>0</v>
      </c>
      <c r="E29" s="30">
        <f t="shared" si="0"/>
        <v>16000</v>
      </c>
      <c r="F29" s="29">
        <v>1600</v>
      </c>
      <c r="G29" s="29"/>
      <c r="H29" s="29">
        <v>30</v>
      </c>
      <c r="I29" s="30">
        <f t="shared" si="1"/>
        <v>1630</v>
      </c>
      <c r="J29" s="29">
        <v>800</v>
      </c>
      <c r="K29" s="29"/>
      <c r="L29" s="30">
        <f t="shared" si="2"/>
        <v>800</v>
      </c>
      <c r="M29" s="30">
        <f t="shared" si="3"/>
        <v>2430</v>
      </c>
    </row>
    <row r="30" spans="1:13">
      <c r="A30" s="29">
        <v>16250</v>
      </c>
      <c r="B30" s="29">
        <v>16749.990000000002</v>
      </c>
      <c r="C30" s="29">
        <v>16500</v>
      </c>
      <c r="D30" s="29">
        <v>0</v>
      </c>
      <c r="E30" s="30">
        <f t="shared" si="0"/>
        <v>16500</v>
      </c>
      <c r="F30" s="29">
        <v>1650</v>
      </c>
      <c r="G30" s="29"/>
      <c r="H30" s="29">
        <v>30</v>
      </c>
      <c r="I30" s="30">
        <f t="shared" si="1"/>
        <v>1680</v>
      </c>
      <c r="J30" s="29">
        <v>825</v>
      </c>
      <c r="K30" s="29"/>
      <c r="L30" s="30">
        <f t="shared" si="2"/>
        <v>825</v>
      </c>
      <c r="M30" s="30">
        <f t="shared" si="3"/>
        <v>2505</v>
      </c>
    </row>
    <row r="31" spans="1:13">
      <c r="A31" s="29">
        <v>16750</v>
      </c>
      <c r="B31" s="29">
        <v>17249.990000000002</v>
      </c>
      <c r="C31" s="29">
        <v>17000</v>
      </c>
      <c r="D31" s="29">
        <v>0</v>
      </c>
      <c r="E31" s="30">
        <f t="shared" si="0"/>
        <v>17000</v>
      </c>
      <c r="F31" s="29">
        <v>1700</v>
      </c>
      <c r="G31" s="29"/>
      <c r="H31" s="29">
        <v>30</v>
      </c>
      <c r="I31" s="30">
        <f t="shared" si="1"/>
        <v>1730</v>
      </c>
      <c r="J31" s="29">
        <v>850</v>
      </c>
      <c r="K31" s="29"/>
      <c r="L31" s="30">
        <f t="shared" si="2"/>
        <v>850</v>
      </c>
      <c r="M31" s="30">
        <f t="shared" si="3"/>
        <v>2580</v>
      </c>
    </row>
    <row r="32" spans="1:13">
      <c r="A32" s="29">
        <v>17250</v>
      </c>
      <c r="B32" s="29">
        <v>17749.990000000002</v>
      </c>
      <c r="C32" s="29">
        <v>17500</v>
      </c>
      <c r="D32" s="29">
        <v>0</v>
      </c>
      <c r="E32" s="30">
        <f t="shared" si="0"/>
        <v>17500</v>
      </c>
      <c r="F32" s="29">
        <v>1750</v>
      </c>
      <c r="G32" s="29"/>
      <c r="H32" s="29">
        <v>30</v>
      </c>
      <c r="I32" s="30">
        <f t="shared" si="1"/>
        <v>1780</v>
      </c>
      <c r="J32" s="29">
        <v>875</v>
      </c>
      <c r="K32" s="29"/>
      <c r="L32" s="30">
        <f t="shared" si="2"/>
        <v>875</v>
      </c>
      <c r="M32" s="30">
        <f t="shared" si="3"/>
        <v>2655</v>
      </c>
    </row>
    <row r="33" spans="1:13">
      <c r="A33" s="29">
        <v>17750</v>
      </c>
      <c r="B33" s="29">
        <v>18249.990000000002</v>
      </c>
      <c r="C33" s="29">
        <v>18000</v>
      </c>
      <c r="D33" s="29">
        <v>0</v>
      </c>
      <c r="E33" s="30">
        <f t="shared" si="0"/>
        <v>18000</v>
      </c>
      <c r="F33" s="29">
        <v>1800</v>
      </c>
      <c r="G33" s="29"/>
      <c r="H33" s="29">
        <v>30</v>
      </c>
      <c r="I33" s="30">
        <f t="shared" si="1"/>
        <v>1830</v>
      </c>
      <c r="J33" s="29">
        <v>900</v>
      </c>
      <c r="K33" s="29"/>
      <c r="L33" s="30">
        <f t="shared" si="2"/>
        <v>900</v>
      </c>
      <c r="M33" s="30">
        <f t="shared" si="3"/>
        <v>2730</v>
      </c>
    </row>
    <row r="34" spans="1:13">
      <c r="A34" s="29">
        <v>18250</v>
      </c>
      <c r="B34" s="29">
        <v>18749.990000000002</v>
      </c>
      <c r="C34" s="29">
        <v>18500</v>
      </c>
      <c r="D34" s="29">
        <v>0</v>
      </c>
      <c r="E34" s="30">
        <f t="shared" si="0"/>
        <v>18500</v>
      </c>
      <c r="F34" s="29">
        <v>1850</v>
      </c>
      <c r="G34" s="29"/>
      <c r="H34" s="29">
        <v>30</v>
      </c>
      <c r="I34" s="30">
        <f t="shared" si="1"/>
        <v>1880</v>
      </c>
      <c r="J34" s="29">
        <v>925</v>
      </c>
      <c r="K34" s="29"/>
      <c r="L34" s="30">
        <f t="shared" si="2"/>
        <v>925</v>
      </c>
      <c r="M34" s="30">
        <f t="shared" si="3"/>
        <v>2805</v>
      </c>
    </row>
    <row r="35" spans="1:13">
      <c r="A35" s="29">
        <v>18750</v>
      </c>
      <c r="B35" s="29">
        <v>19249.990000000002</v>
      </c>
      <c r="C35" s="29">
        <v>19000</v>
      </c>
      <c r="D35" s="29">
        <v>0</v>
      </c>
      <c r="E35" s="30">
        <f t="shared" si="0"/>
        <v>19000</v>
      </c>
      <c r="F35" s="29">
        <v>1900</v>
      </c>
      <c r="G35" s="29"/>
      <c r="H35" s="29">
        <v>30</v>
      </c>
      <c r="I35" s="30">
        <f t="shared" si="1"/>
        <v>1930</v>
      </c>
      <c r="J35" s="29">
        <v>950</v>
      </c>
      <c r="K35" s="29"/>
      <c r="L35" s="30">
        <f t="shared" si="2"/>
        <v>950</v>
      </c>
      <c r="M35" s="30">
        <f t="shared" si="3"/>
        <v>2880</v>
      </c>
    </row>
    <row r="36" spans="1:13">
      <c r="A36" s="29">
        <v>19250</v>
      </c>
      <c r="B36" s="29">
        <v>19749.990000000002</v>
      </c>
      <c r="C36" s="29">
        <v>19500</v>
      </c>
      <c r="D36" s="29">
        <v>0</v>
      </c>
      <c r="E36" s="30">
        <f t="shared" si="0"/>
        <v>19500</v>
      </c>
      <c r="F36" s="29">
        <v>1950</v>
      </c>
      <c r="G36" s="29"/>
      <c r="H36" s="29">
        <v>30</v>
      </c>
      <c r="I36" s="30">
        <f t="shared" si="1"/>
        <v>1980</v>
      </c>
      <c r="J36" s="29">
        <v>975</v>
      </c>
      <c r="K36" s="29"/>
      <c r="L36" s="30">
        <f t="shared" si="2"/>
        <v>975</v>
      </c>
      <c r="M36" s="30">
        <f t="shared" si="3"/>
        <v>2955</v>
      </c>
    </row>
    <row r="37" spans="1:13">
      <c r="A37" s="29">
        <v>19750</v>
      </c>
      <c r="B37" s="29">
        <v>20249.990000000002</v>
      </c>
      <c r="C37" s="29">
        <v>20000</v>
      </c>
      <c r="D37" s="29">
        <v>0</v>
      </c>
      <c r="E37" s="30">
        <f t="shared" si="0"/>
        <v>20000</v>
      </c>
      <c r="F37" s="29">
        <v>2000</v>
      </c>
      <c r="G37" s="29"/>
      <c r="H37" s="29">
        <v>30</v>
      </c>
      <c r="I37" s="30">
        <f t="shared" si="1"/>
        <v>2030</v>
      </c>
      <c r="J37" s="29">
        <v>1000</v>
      </c>
      <c r="K37" s="29"/>
      <c r="L37" s="30">
        <f t="shared" si="2"/>
        <v>1000</v>
      </c>
      <c r="M37" s="30">
        <f t="shared" si="3"/>
        <v>3030</v>
      </c>
    </row>
    <row r="38" spans="1:13">
      <c r="A38" s="29">
        <v>20250</v>
      </c>
      <c r="B38" s="29">
        <v>20749.990000000002</v>
      </c>
      <c r="C38" s="29">
        <v>20000</v>
      </c>
      <c r="D38" s="29">
        <v>500</v>
      </c>
      <c r="E38" s="30">
        <f t="shared" si="0"/>
        <v>20500</v>
      </c>
      <c r="F38" s="29">
        <v>2000</v>
      </c>
      <c r="G38" s="31">
        <v>50</v>
      </c>
      <c r="H38" s="29">
        <v>30</v>
      </c>
      <c r="I38" s="30">
        <f t="shared" si="1"/>
        <v>2080</v>
      </c>
      <c r="J38" s="29">
        <v>1000</v>
      </c>
      <c r="K38" s="29">
        <v>25</v>
      </c>
      <c r="L38" s="30">
        <f t="shared" si="2"/>
        <v>1025</v>
      </c>
      <c r="M38" s="30">
        <f t="shared" si="3"/>
        <v>3105</v>
      </c>
    </row>
    <row r="39" spans="1:13">
      <c r="A39" s="29">
        <v>20750</v>
      </c>
      <c r="B39" s="29">
        <v>21249.99</v>
      </c>
      <c r="C39" s="29">
        <v>20000</v>
      </c>
      <c r="D39" s="29">
        <v>1000</v>
      </c>
      <c r="E39" s="30">
        <f t="shared" si="0"/>
        <v>21000</v>
      </c>
      <c r="F39" s="29">
        <v>2000</v>
      </c>
      <c r="G39" s="29">
        <v>100</v>
      </c>
      <c r="H39" s="29">
        <v>30</v>
      </c>
      <c r="I39" s="30">
        <f t="shared" si="1"/>
        <v>2130</v>
      </c>
      <c r="J39" s="29">
        <v>1000</v>
      </c>
      <c r="K39" s="29">
        <v>50</v>
      </c>
      <c r="L39" s="30">
        <f t="shared" si="2"/>
        <v>1050</v>
      </c>
      <c r="M39" s="30">
        <f t="shared" si="3"/>
        <v>3180</v>
      </c>
    </row>
    <row r="40" spans="1:13">
      <c r="A40" s="29">
        <v>21250</v>
      </c>
      <c r="B40" s="29">
        <v>21749.99</v>
      </c>
      <c r="C40" s="29">
        <v>20000</v>
      </c>
      <c r="D40" s="29">
        <v>1500</v>
      </c>
      <c r="E40" s="30">
        <f t="shared" si="0"/>
        <v>21500</v>
      </c>
      <c r="F40" s="29">
        <v>2000</v>
      </c>
      <c r="G40" s="29">
        <v>150</v>
      </c>
      <c r="H40" s="29">
        <v>30</v>
      </c>
      <c r="I40" s="30">
        <f t="shared" si="1"/>
        <v>2180</v>
      </c>
      <c r="J40" s="29">
        <v>1000</v>
      </c>
      <c r="K40" s="29">
        <v>75</v>
      </c>
      <c r="L40" s="30">
        <f t="shared" si="2"/>
        <v>1075</v>
      </c>
      <c r="M40" s="30">
        <f t="shared" si="3"/>
        <v>3255</v>
      </c>
    </row>
    <row r="41" spans="1:13">
      <c r="A41" s="29">
        <v>21750</v>
      </c>
      <c r="B41" s="29">
        <v>22249.99</v>
      </c>
      <c r="C41" s="29">
        <v>20000</v>
      </c>
      <c r="D41" s="29">
        <v>2000</v>
      </c>
      <c r="E41" s="30">
        <f t="shared" si="0"/>
        <v>22000</v>
      </c>
      <c r="F41" s="29">
        <v>2000</v>
      </c>
      <c r="G41" s="29">
        <v>200</v>
      </c>
      <c r="H41" s="29">
        <v>30</v>
      </c>
      <c r="I41" s="30">
        <f t="shared" si="1"/>
        <v>2230</v>
      </c>
      <c r="J41" s="29">
        <v>1000</v>
      </c>
      <c r="K41" s="29">
        <v>100</v>
      </c>
      <c r="L41" s="30">
        <f t="shared" si="2"/>
        <v>1100</v>
      </c>
      <c r="M41" s="30">
        <f t="shared" si="3"/>
        <v>3330</v>
      </c>
    </row>
    <row r="42" spans="1:13">
      <c r="A42" s="29">
        <v>22250</v>
      </c>
      <c r="B42" s="29">
        <v>22749.99</v>
      </c>
      <c r="C42" s="29">
        <v>20000</v>
      </c>
      <c r="D42" s="29">
        <v>2500</v>
      </c>
      <c r="E42" s="30">
        <f t="shared" si="0"/>
        <v>22500</v>
      </c>
      <c r="F42" s="29">
        <v>2000</v>
      </c>
      <c r="G42" s="29">
        <v>250</v>
      </c>
      <c r="H42" s="29">
        <v>30</v>
      </c>
      <c r="I42" s="30">
        <f t="shared" si="1"/>
        <v>2280</v>
      </c>
      <c r="J42" s="29">
        <v>1000</v>
      </c>
      <c r="K42" s="29">
        <v>125</v>
      </c>
      <c r="L42" s="30">
        <f t="shared" si="2"/>
        <v>1125</v>
      </c>
      <c r="M42" s="30">
        <f t="shared" si="3"/>
        <v>3405</v>
      </c>
    </row>
    <row r="43" spans="1:13">
      <c r="A43" s="29">
        <v>22750</v>
      </c>
      <c r="B43" s="29">
        <v>23249.99</v>
      </c>
      <c r="C43" s="29">
        <v>20000</v>
      </c>
      <c r="D43" s="29">
        <v>3000</v>
      </c>
      <c r="E43" s="30">
        <f t="shared" si="0"/>
        <v>23000</v>
      </c>
      <c r="F43" s="29">
        <v>2000</v>
      </c>
      <c r="G43" s="29">
        <v>300</v>
      </c>
      <c r="H43" s="29">
        <v>30</v>
      </c>
      <c r="I43" s="30">
        <f t="shared" si="1"/>
        <v>2330</v>
      </c>
      <c r="J43" s="29">
        <v>1000</v>
      </c>
      <c r="K43" s="29">
        <v>150</v>
      </c>
      <c r="L43" s="30">
        <f t="shared" si="2"/>
        <v>1150</v>
      </c>
      <c r="M43" s="30">
        <f t="shared" si="3"/>
        <v>3480</v>
      </c>
    </row>
    <row r="44" spans="1:13">
      <c r="A44" s="29">
        <v>23250</v>
      </c>
      <c r="B44" s="29">
        <v>23749.99</v>
      </c>
      <c r="C44" s="29">
        <v>20000</v>
      </c>
      <c r="D44" s="29">
        <v>3500</v>
      </c>
      <c r="E44" s="30">
        <f t="shared" si="0"/>
        <v>23500</v>
      </c>
      <c r="F44" s="29">
        <v>2000</v>
      </c>
      <c r="G44" s="29">
        <v>350</v>
      </c>
      <c r="H44" s="29">
        <v>30</v>
      </c>
      <c r="I44" s="30">
        <f t="shared" si="1"/>
        <v>2380</v>
      </c>
      <c r="J44" s="29">
        <v>1000</v>
      </c>
      <c r="K44" s="29">
        <v>175</v>
      </c>
      <c r="L44" s="30">
        <f t="shared" si="2"/>
        <v>1175</v>
      </c>
      <c r="M44" s="30">
        <f t="shared" si="3"/>
        <v>3555</v>
      </c>
    </row>
    <row r="45" spans="1:13">
      <c r="A45" s="29">
        <v>23750</v>
      </c>
      <c r="B45" s="29">
        <v>24249.99</v>
      </c>
      <c r="C45" s="29">
        <v>20000</v>
      </c>
      <c r="D45" s="29">
        <v>4000</v>
      </c>
      <c r="E45" s="30">
        <f t="shared" si="0"/>
        <v>24000</v>
      </c>
      <c r="F45" s="29">
        <v>2000</v>
      </c>
      <c r="G45" s="29">
        <v>400</v>
      </c>
      <c r="H45" s="29">
        <v>30</v>
      </c>
      <c r="I45" s="30">
        <f t="shared" si="1"/>
        <v>2430</v>
      </c>
      <c r="J45" s="29">
        <v>1000</v>
      </c>
      <c r="K45" s="29">
        <v>200</v>
      </c>
      <c r="L45" s="30">
        <f t="shared" si="2"/>
        <v>1200</v>
      </c>
      <c r="M45" s="30">
        <f t="shared" si="3"/>
        <v>3630</v>
      </c>
    </row>
    <row r="46" spans="1:13">
      <c r="A46" s="29">
        <v>24250</v>
      </c>
      <c r="B46" s="29">
        <v>24749.99</v>
      </c>
      <c r="C46" s="29">
        <v>20000</v>
      </c>
      <c r="D46" s="29">
        <v>4500</v>
      </c>
      <c r="E46" s="30">
        <f t="shared" si="0"/>
        <v>24500</v>
      </c>
      <c r="F46" s="29">
        <v>2000</v>
      </c>
      <c r="G46" s="29">
        <v>450</v>
      </c>
      <c r="H46" s="29">
        <v>30</v>
      </c>
      <c r="I46" s="30">
        <f t="shared" si="1"/>
        <v>2480</v>
      </c>
      <c r="J46" s="29">
        <v>1000</v>
      </c>
      <c r="K46" s="29">
        <v>225</v>
      </c>
      <c r="L46" s="30">
        <f t="shared" si="2"/>
        <v>1225</v>
      </c>
      <c r="M46" s="30">
        <f t="shared" si="3"/>
        <v>3705</v>
      </c>
    </row>
    <row r="47" spans="1:13">
      <c r="A47" s="29">
        <v>24750</v>
      </c>
      <c r="B47" s="29">
        <v>25249.99</v>
      </c>
      <c r="C47" s="29">
        <v>20000</v>
      </c>
      <c r="D47" s="29">
        <v>5000</v>
      </c>
      <c r="E47" s="30">
        <f t="shared" si="0"/>
        <v>25000</v>
      </c>
      <c r="F47" s="29">
        <v>2000</v>
      </c>
      <c r="G47" s="29">
        <v>500</v>
      </c>
      <c r="H47" s="29">
        <v>30</v>
      </c>
      <c r="I47" s="30">
        <f t="shared" si="1"/>
        <v>2530</v>
      </c>
      <c r="J47" s="29">
        <v>1000</v>
      </c>
      <c r="K47" s="29">
        <v>250</v>
      </c>
      <c r="L47" s="30">
        <f t="shared" si="2"/>
        <v>1250</v>
      </c>
      <c r="M47" s="30">
        <f t="shared" si="3"/>
        <v>3780</v>
      </c>
    </row>
    <row r="48" spans="1:13">
      <c r="A48" s="29">
        <v>25250</v>
      </c>
      <c r="B48" s="29">
        <v>25749.99</v>
      </c>
      <c r="C48" s="29">
        <v>20000</v>
      </c>
      <c r="D48" s="29">
        <v>5500</v>
      </c>
      <c r="E48" s="30">
        <f t="shared" si="0"/>
        <v>25500</v>
      </c>
      <c r="F48" s="29">
        <v>2000</v>
      </c>
      <c r="G48" s="29">
        <v>550</v>
      </c>
      <c r="H48" s="29">
        <v>30</v>
      </c>
      <c r="I48" s="30">
        <f t="shared" si="1"/>
        <v>2580</v>
      </c>
      <c r="J48" s="29">
        <v>1000</v>
      </c>
      <c r="K48" s="29">
        <v>275</v>
      </c>
      <c r="L48" s="30">
        <f t="shared" si="2"/>
        <v>1275</v>
      </c>
      <c r="M48" s="30">
        <f t="shared" si="3"/>
        <v>3855</v>
      </c>
    </row>
    <row r="49" spans="1:13">
      <c r="A49" s="29">
        <v>25750</v>
      </c>
      <c r="B49" s="29">
        <v>26249.99</v>
      </c>
      <c r="C49" s="29">
        <v>20000</v>
      </c>
      <c r="D49" s="29">
        <v>6000</v>
      </c>
      <c r="E49" s="30">
        <f t="shared" si="0"/>
        <v>26000</v>
      </c>
      <c r="F49" s="29">
        <v>2000</v>
      </c>
      <c r="G49" s="29">
        <v>600</v>
      </c>
      <c r="H49" s="29">
        <v>30</v>
      </c>
      <c r="I49" s="30">
        <f t="shared" si="1"/>
        <v>2630</v>
      </c>
      <c r="J49" s="29">
        <v>1000</v>
      </c>
      <c r="K49" s="29">
        <v>300</v>
      </c>
      <c r="L49" s="30">
        <f t="shared" si="2"/>
        <v>1300</v>
      </c>
      <c r="M49" s="30">
        <f t="shared" si="3"/>
        <v>3930</v>
      </c>
    </row>
    <row r="50" spans="1:13">
      <c r="A50" s="29">
        <v>26250</v>
      </c>
      <c r="B50" s="29">
        <v>26749.99</v>
      </c>
      <c r="C50" s="29">
        <v>20000</v>
      </c>
      <c r="D50" s="29">
        <v>6500</v>
      </c>
      <c r="E50" s="30">
        <f t="shared" si="0"/>
        <v>26500</v>
      </c>
      <c r="F50" s="29">
        <v>2000</v>
      </c>
      <c r="G50" s="29">
        <v>650</v>
      </c>
      <c r="H50" s="29">
        <v>30</v>
      </c>
      <c r="I50" s="30">
        <f t="shared" si="1"/>
        <v>2680</v>
      </c>
      <c r="J50" s="29">
        <v>1000</v>
      </c>
      <c r="K50" s="29">
        <v>325</v>
      </c>
      <c r="L50" s="30">
        <f t="shared" si="2"/>
        <v>1325</v>
      </c>
      <c r="M50" s="30">
        <f t="shared" si="3"/>
        <v>4005</v>
      </c>
    </row>
    <row r="51" spans="1:13">
      <c r="A51" s="29">
        <v>26750</v>
      </c>
      <c r="B51" s="29">
        <v>27249.99</v>
      </c>
      <c r="C51" s="29">
        <v>20000</v>
      </c>
      <c r="D51" s="29">
        <v>7000</v>
      </c>
      <c r="E51" s="30">
        <f t="shared" si="0"/>
        <v>27000</v>
      </c>
      <c r="F51" s="29">
        <v>2000</v>
      </c>
      <c r="G51" s="29">
        <v>700</v>
      </c>
      <c r="H51" s="29">
        <v>30</v>
      </c>
      <c r="I51" s="30">
        <f t="shared" si="1"/>
        <v>2730</v>
      </c>
      <c r="J51" s="29">
        <v>1000</v>
      </c>
      <c r="K51" s="29">
        <v>350</v>
      </c>
      <c r="L51" s="30">
        <f t="shared" si="2"/>
        <v>1350</v>
      </c>
      <c r="M51" s="30">
        <f t="shared" si="3"/>
        <v>4080</v>
      </c>
    </row>
    <row r="52" spans="1:13">
      <c r="A52" s="29">
        <v>27250</v>
      </c>
      <c r="B52" s="29">
        <v>27749.99</v>
      </c>
      <c r="C52" s="29">
        <v>20000</v>
      </c>
      <c r="D52" s="29">
        <v>7500</v>
      </c>
      <c r="E52" s="30">
        <f t="shared" si="0"/>
        <v>27500</v>
      </c>
      <c r="F52" s="29">
        <v>2000</v>
      </c>
      <c r="G52" s="29">
        <v>750</v>
      </c>
      <c r="H52" s="29">
        <v>30</v>
      </c>
      <c r="I52" s="30">
        <f t="shared" si="1"/>
        <v>2780</v>
      </c>
      <c r="J52" s="29">
        <v>1000</v>
      </c>
      <c r="K52" s="29">
        <v>375</v>
      </c>
      <c r="L52" s="30">
        <f t="shared" si="2"/>
        <v>1375</v>
      </c>
      <c r="M52" s="30">
        <f t="shared" si="3"/>
        <v>4155</v>
      </c>
    </row>
    <row r="53" spans="1:13">
      <c r="A53" s="29">
        <v>27750</v>
      </c>
      <c r="B53" s="29">
        <v>28249.99</v>
      </c>
      <c r="C53" s="29">
        <v>20000</v>
      </c>
      <c r="D53" s="29">
        <v>8000</v>
      </c>
      <c r="E53" s="30">
        <f t="shared" si="0"/>
        <v>28000</v>
      </c>
      <c r="F53" s="29">
        <v>2000</v>
      </c>
      <c r="G53" s="29">
        <v>800</v>
      </c>
      <c r="H53" s="29">
        <v>30</v>
      </c>
      <c r="I53" s="30">
        <f t="shared" si="1"/>
        <v>2830</v>
      </c>
      <c r="J53" s="29">
        <v>1000</v>
      </c>
      <c r="K53" s="29">
        <v>400</v>
      </c>
      <c r="L53" s="30">
        <f t="shared" si="2"/>
        <v>1400</v>
      </c>
      <c r="M53" s="30">
        <f t="shared" si="3"/>
        <v>4230</v>
      </c>
    </row>
    <row r="54" spans="1:13">
      <c r="A54" s="29">
        <v>28250</v>
      </c>
      <c r="B54" s="29">
        <v>28749.99</v>
      </c>
      <c r="C54" s="29">
        <v>20000</v>
      </c>
      <c r="D54" s="29">
        <v>8500</v>
      </c>
      <c r="E54" s="30">
        <f t="shared" si="0"/>
        <v>28500</v>
      </c>
      <c r="F54" s="29">
        <v>2000</v>
      </c>
      <c r="G54" s="29">
        <v>850</v>
      </c>
      <c r="H54" s="29">
        <v>30</v>
      </c>
      <c r="I54" s="30">
        <f t="shared" si="1"/>
        <v>2880</v>
      </c>
      <c r="J54" s="29">
        <v>1000</v>
      </c>
      <c r="K54" s="29">
        <v>425</v>
      </c>
      <c r="L54" s="30">
        <f t="shared" si="2"/>
        <v>1425</v>
      </c>
      <c r="M54" s="30">
        <f t="shared" si="3"/>
        <v>4305</v>
      </c>
    </row>
    <row r="55" spans="1:13">
      <c r="A55" s="29">
        <v>28750</v>
      </c>
      <c r="B55" s="29">
        <v>29249.99</v>
      </c>
      <c r="C55" s="29">
        <v>20000</v>
      </c>
      <c r="D55" s="29">
        <v>9000</v>
      </c>
      <c r="E55" s="30">
        <f t="shared" si="0"/>
        <v>29000</v>
      </c>
      <c r="F55" s="29">
        <v>2000</v>
      </c>
      <c r="G55" s="29">
        <v>900</v>
      </c>
      <c r="H55" s="29">
        <v>30</v>
      </c>
      <c r="I55" s="30">
        <f t="shared" si="1"/>
        <v>2930</v>
      </c>
      <c r="J55" s="29">
        <v>1000</v>
      </c>
      <c r="K55" s="29">
        <v>450</v>
      </c>
      <c r="L55" s="30">
        <f t="shared" si="2"/>
        <v>1450</v>
      </c>
      <c r="M55" s="30">
        <f t="shared" si="3"/>
        <v>4380</v>
      </c>
    </row>
    <row r="56" spans="1:13">
      <c r="A56" s="29">
        <v>29250</v>
      </c>
      <c r="B56" s="29">
        <v>29749.99</v>
      </c>
      <c r="C56" s="29">
        <v>20000</v>
      </c>
      <c r="D56" s="29">
        <v>9500</v>
      </c>
      <c r="E56" s="30">
        <f t="shared" si="0"/>
        <v>29500</v>
      </c>
      <c r="F56" s="29">
        <v>2000</v>
      </c>
      <c r="G56" s="29">
        <v>950</v>
      </c>
      <c r="H56" s="29">
        <v>30</v>
      </c>
      <c r="I56" s="30">
        <f t="shared" si="1"/>
        <v>2980</v>
      </c>
      <c r="J56" s="29">
        <v>1000</v>
      </c>
      <c r="K56" s="29">
        <v>475</v>
      </c>
      <c r="L56" s="30">
        <f t="shared" si="2"/>
        <v>1475</v>
      </c>
      <c r="M56" s="30">
        <f t="shared" si="3"/>
        <v>4455</v>
      </c>
    </row>
    <row r="57" spans="1:13">
      <c r="A57" s="29">
        <v>29750</v>
      </c>
      <c r="B57" s="29">
        <v>30249.99</v>
      </c>
      <c r="C57" s="29">
        <v>20000</v>
      </c>
      <c r="D57" s="29">
        <v>10000</v>
      </c>
      <c r="E57" s="30">
        <f t="shared" si="0"/>
        <v>30000</v>
      </c>
      <c r="F57" s="29">
        <v>2000</v>
      </c>
      <c r="G57" s="29">
        <v>1000</v>
      </c>
      <c r="H57" s="29">
        <v>30</v>
      </c>
      <c r="I57" s="30">
        <f t="shared" si="1"/>
        <v>3030</v>
      </c>
      <c r="J57" s="29">
        <v>1000</v>
      </c>
      <c r="K57" s="29">
        <v>500</v>
      </c>
      <c r="L57" s="30">
        <f t="shared" si="2"/>
        <v>1500</v>
      </c>
      <c r="M57" s="30">
        <f t="shared" si="3"/>
        <v>4530</v>
      </c>
    </row>
    <row r="58" spans="1:13">
      <c r="A58" s="29">
        <v>30250</v>
      </c>
      <c r="B58" s="29">
        <v>30749.99</v>
      </c>
      <c r="C58" s="29">
        <v>20000</v>
      </c>
      <c r="D58" s="29">
        <v>10500</v>
      </c>
      <c r="E58" s="30">
        <f t="shared" si="0"/>
        <v>30500</v>
      </c>
      <c r="F58" s="29">
        <v>2000</v>
      </c>
      <c r="G58" s="29">
        <v>1050</v>
      </c>
      <c r="H58" s="29">
        <v>30</v>
      </c>
      <c r="I58" s="30">
        <f t="shared" si="1"/>
        <v>3080</v>
      </c>
      <c r="J58" s="29">
        <v>1000</v>
      </c>
      <c r="K58" s="29">
        <v>525</v>
      </c>
      <c r="L58" s="30">
        <f t="shared" si="2"/>
        <v>1525</v>
      </c>
      <c r="M58" s="30">
        <f t="shared" si="3"/>
        <v>4605</v>
      </c>
    </row>
    <row r="59" spans="1:13">
      <c r="A59" s="29">
        <v>30750</v>
      </c>
      <c r="B59" s="31">
        <v>31249.99</v>
      </c>
      <c r="C59" s="29">
        <v>20000</v>
      </c>
      <c r="D59" s="29">
        <v>11000</v>
      </c>
      <c r="E59" s="30">
        <f t="shared" si="0"/>
        <v>31000</v>
      </c>
      <c r="F59" s="29">
        <v>2000</v>
      </c>
      <c r="G59" s="29">
        <v>1100</v>
      </c>
      <c r="H59" s="29">
        <v>30</v>
      </c>
      <c r="I59" s="30">
        <f t="shared" si="1"/>
        <v>3130</v>
      </c>
      <c r="J59" s="29">
        <v>1000</v>
      </c>
      <c r="K59" s="29">
        <v>550</v>
      </c>
      <c r="L59" s="30">
        <f t="shared" si="2"/>
        <v>1550</v>
      </c>
      <c r="M59" s="30">
        <f t="shared" si="3"/>
        <v>4680</v>
      </c>
    </row>
    <row r="60" spans="1:13">
      <c r="A60" s="29">
        <v>31250</v>
      </c>
      <c r="B60" s="31">
        <v>31749.99</v>
      </c>
      <c r="C60" s="29">
        <v>20000</v>
      </c>
      <c r="D60" s="29">
        <v>11500</v>
      </c>
      <c r="E60" s="30">
        <f t="shared" si="0"/>
        <v>31500</v>
      </c>
      <c r="F60" s="29">
        <v>2000</v>
      </c>
      <c r="G60" s="29">
        <v>1150</v>
      </c>
      <c r="H60" s="29">
        <v>30</v>
      </c>
      <c r="I60" s="30">
        <f t="shared" si="1"/>
        <v>3180</v>
      </c>
      <c r="J60" s="29">
        <v>1000</v>
      </c>
      <c r="K60" s="29">
        <v>575</v>
      </c>
      <c r="L60" s="30">
        <f t="shared" si="2"/>
        <v>1575</v>
      </c>
      <c r="M60" s="30">
        <f t="shared" si="3"/>
        <v>4755</v>
      </c>
    </row>
    <row r="61" spans="1:13">
      <c r="A61" s="29">
        <v>31750</v>
      </c>
      <c r="B61" s="31">
        <v>32249.99</v>
      </c>
      <c r="C61" s="29">
        <v>20000</v>
      </c>
      <c r="D61" s="29">
        <v>12000</v>
      </c>
      <c r="E61" s="30">
        <f t="shared" si="0"/>
        <v>32000</v>
      </c>
      <c r="F61" s="29">
        <v>2000</v>
      </c>
      <c r="G61" s="29">
        <v>1200</v>
      </c>
      <c r="H61" s="29">
        <v>30</v>
      </c>
      <c r="I61" s="30">
        <f t="shared" si="1"/>
        <v>3230</v>
      </c>
      <c r="J61" s="29">
        <v>1000</v>
      </c>
      <c r="K61" s="29">
        <v>600</v>
      </c>
      <c r="L61" s="30">
        <f t="shared" si="2"/>
        <v>1600</v>
      </c>
      <c r="M61" s="30">
        <f t="shared" si="3"/>
        <v>4830</v>
      </c>
    </row>
    <row r="62" spans="1:13">
      <c r="A62" s="29">
        <v>32250</v>
      </c>
      <c r="B62" s="31">
        <v>32749.99</v>
      </c>
      <c r="C62" s="29">
        <v>20000</v>
      </c>
      <c r="D62" s="29">
        <v>12500</v>
      </c>
      <c r="E62" s="30">
        <f t="shared" si="0"/>
        <v>32500</v>
      </c>
      <c r="F62" s="29">
        <v>2000</v>
      </c>
      <c r="G62" s="29">
        <v>1250</v>
      </c>
      <c r="H62" s="29">
        <v>30</v>
      </c>
      <c r="I62" s="30">
        <f t="shared" si="1"/>
        <v>3280</v>
      </c>
      <c r="J62" s="29">
        <v>1000</v>
      </c>
      <c r="K62" s="29">
        <v>625</v>
      </c>
      <c r="L62" s="30">
        <f t="shared" si="2"/>
        <v>1625</v>
      </c>
      <c r="M62" s="30">
        <f t="shared" si="3"/>
        <v>4905</v>
      </c>
    </row>
    <row r="63" spans="1:13">
      <c r="A63" s="29">
        <v>32750</v>
      </c>
      <c r="B63" s="31">
        <v>33249.99</v>
      </c>
      <c r="C63" s="29">
        <v>20000</v>
      </c>
      <c r="D63" s="29">
        <v>13000</v>
      </c>
      <c r="E63" s="30">
        <f t="shared" si="0"/>
        <v>33000</v>
      </c>
      <c r="F63" s="29">
        <v>2000</v>
      </c>
      <c r="G63" s="29">
        <v>1300</v>
      </c>
      <c r="H63" s="29">
        <v>30</v>
      </c>
      <c r="I63" s="30">
        <f t="shared" si="1"/>
        <v>3330</v>
      </c>
      <c r="J63" s="29">
        <v>1000</v>
      </c>
      <c r="K63" s="29">
        <v>650</v>
      </c>
      <c r="L63" s="30">
        <f t="shared" si="2"/>
        <v>1650</v>
      </c>
      <c r="M63" s="30">
        <f t="shared" si="3"/>
        <v>4980</v>
      </c>
    </row>
    <row r="64" spans="1:13">
      <c r="A64" s="29">
        <v>33250</v>
      </c>
      <c r="B64" s="31">
        <v>33749.99</v>
      </c>
      <c r="C64" s="29">
        <v>20000</v>
      </c>
      <c r="D64" s="29">
        <v>13500</v>
      </c>
      <c r="E64" s="30">
        <f t="shared" si="0"/>
        <v>33500</v>
      </c>
      <c r="F64" s="29">
        <v>2000</v>
      </c>
      <c r="G64" s="29">
        <v>1350</v>
      </c>
      <c r="H64" s="29">
        <v>30</v>
      </c>
      <c r="I64" s="30">
        <f t="shared" si="1"/>
        <v>3380</v>
      </c>
      <c r="J64" s="29">
        <v>1000</v>
      </c>
      <c r="K64" s="29">
        <v>675</v>
      </c>
      <c r="L64" s="30">
        <f t="shared" si="2"/>
        <v>1675</v>
      </c>
      <c r="M64" s="30">
        <f t="shared" si="3"/>
        <v>5055</v>
      </c>
    </row>
    <row r="65" spans="1:13">
      <c r="A65" s="29">
        <v>33750</v>
      </c>
      <c r="B65" s="31">
        <v>34249.99</v>
      </c>
      <c r="C65" s="29">
        <v>20000</v>
      </c>
      <c r="D65" s="29">
        <v>14000</v>
      </c>
      <c r="E65" s="30">
        <f t="shared" si="0"/>
        <v>34000</v>
      </c>
      <c r="F65" s="29">
        <v>2000</v>
      </c>
      <c r="G65" s="29">
        <v>1400</v>
      </c>
      <c r="H65" s="29">
        <v>30</v>
      </c>
      <c r="I65" s="30">
        <f t="shared" si="1"/>
        <v>3430</v>
      </c>
      <c r="J65" s="29">
        <v>1000</v>
      </c>
      <c r="K65" s="29">
        <v>700</v>
      </c>
      <c r="L65" s="30">
        <f t="shared" si="2"/>
        <v>1700</v>
      </c>
      <c r="M65" s="30">
        <f t="shared" si="3"/>
        <v>5130</v>
      </c>
    </row>
    <row r="66" spans="1:13">
      <c r="A66" s="29">
        <v>34250</v>
      </c>
      <c r="B66" s="31">
        <v>34749.99</v>
      </c>
      <c r="C66" s="29">
        <v>20000</v>
      </c>
      <c r="D66" s="29">
        <v>14500</v>
      </c>
      <c r="E66" s="30">
        <f t="shared" si="0"/>
        <v>34500</v>
      </c>
      <c r="F66" s="29">
        <v>2000</v>
      </c>
      <c r="G66" s="29">
        <v>1450</v>
      </c>
      <c r="H66" s="29">
        <v>30</v>
      </c>
      <c r="I66" s="30">
        <f t="shared" si="1"/>
        <v>3480</v>
      </c>
      <c r="J66" s="29">
        <v>1000</v>
      </c>
      <c r="K66" s="29">
        <v>725</v>
      </c>
      <c r="L66" s="30">
        <f t="shared" si="2"/>
        <v>1725</v>
      </c>
      <c r="M66" s="30">
        <f t="shared" si="3"/>
        <v>5205</v>
      </c>
    </row>
    <row r="67" spans="1:13">
      <c r="A67" s="29">
        <v>34750</v>
      </c>
      <c r="B67" s="31" t="s">
        <v>19</v>
      </c>
      <c r="C67" s="29">
        <v>20000</v>
      </c>
      <c r="D67" s="29">
        <v>15000</v>
      </c>
      <c r="E67" s="30">
        <f t="shared" si="0"/>
        <v>35000</v>
      </c>
      <c r="F67" s="29">
        <v>2000</v>
      </c>
      <c r="G67" s="29">
        <v>1500</v>
      </c>
      <c r="H67" s="29">
        <v>30</v>
      </c>
      <c r="I67" s="30">
        <f t="shared" si="1"/>
        <v>3530</v>
      </c>
      <c r="J67" s="29">
        <v>1000</v>
      </c>
      <c r="K67" s="29">
        <v>750</v>
      </c>
      <c r="L67" s="30">
        <f t="shared" si="2"/>
        <v>1750</v>
      </c>
      <c r="M67" s="30">
        <f t="shared" si="3"/>
        <v>5280</v>
      </c>
    </row>
  </sheetData>
  <mergeCells count="9">
    <mergeCell ref="A2:B4"/>
    <mergeCell ref="C2:E3"/>
    <mergeCell ref="F2:M2"/>
    <mergeCell ref="F3:I3"/>
    <mergeCell ref="J3:L3"/>
    <mergeCell ref="A5:B5"/>
    <mergeCell ref="C5:E5"/>
    <mergeCell ref="F5:I5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SSS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</dc:creator>
  <cp:lastModifiedBy>PC 1</cp:lastModifiedBy>
  <dcterms:created xsi:type="dcterms:W3CDTF">2026-07-29T01:08:33Z</dcterms:created>
  <dcterms:modified xsi:type="dcterms:W3CDTF">2026-07-29T01:08:44Z</dcterms:modified>
</cp:coreProperties>
</file>